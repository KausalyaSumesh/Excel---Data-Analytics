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usa\Desktop\Data Analytics\Advanced Excel\"/>
    </mc:Choice>
  </mc:AlternateContent>
  <xr:revisionPtr revIDLastSave="0" documentId="13_ncr:1_{1234B99B-BA36-4AB3-80B8-4371D98CEB4D}" xr6:coauthVersionLast="47" xr6:coauthVersionMax="47" xr10:uidLastSave="{00000000-0000-0000-0000-000000000000}"/>
  <bookViews>
    <workbookView xWindow="-108" yWindow="-108" windowWidth="23256" windowHeight="12456" xr2:uid="{E1A40039-0D38-4BD7-BBD4-1D3C46438210}"/>
  </bookViews>
  <sheets>
    <sheet name="HR Dashboard" sheetId="1" r:id="rId1"/>
  </sheets>
  <definedNames>
    <definedName name="Finance">'HR Dashboard'!$Z$3:$Z$6</definedName>
    <definedName name="HR">'HR Dashboard'!$Y$3:$Y$6</definedName>
    <definedName name="IT">'HR Dashboard'!$X$3:$X$6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L6" i="1"/>
  <c r="L7" i="1"/>
  <c r="L8" i="1"/>
  <c r="L9" i="1"/>
  <c r="L5" i="1"/>
  <c r="N19" i="1"/>
  <c r="N20" i="1"/>
</calcChain>
</file>

<file path=xl/sharedStrings.xml><?xml version="1.0" encoding="utf-8"?>
<sst xmlns="http://schemas.openxmlformats.org/spreadsheetml/2006/main" count="140" uniqueCount="84">
  <si>
    <t>Employee ID</t>
  </si>
  <si>
    <t>Name</t>
  </si>
  <si>
    <t>Gender</t>
  </si>
  <si>
    <t>Department</t>
  </si>
  <si>
    <t>Designation</t>
  </si>
  <si>
    <t>EMP001</t>
  </si>
  <si>
    <t>John Smith</t>
  </si>
  <si>
    <t>Male</t>
  </si>
  <si>
    <t>Finance</t>
  </si>
  <si>
    <t>Senior Accountant</t>
  </si>
  <si>
    <t>EMP002</t>
  </si>
  <si>
    <t>Sarah Johnson</t>
  </si>
  <si>
    <t>Female</t>
  </si>
  <si>
    <t>HR</t>
  </si>
  <si>
    <t>HR Manager</t>
  </si>
  <si>
    <t>EMP003</t>
  </si>
  <si>
    <t>Michael Lee</t>
  </si>
  <si>
    <t>IT</t>
  </si>
  <si>
    <t>Software Engineer</t>
  </si>
  <si>
    <t>EMP004</t>
  </si>
  <si>
    <t>Emma Davis</t>
  </si>
  <si>
    <t>Sales</t>
  </si>
  <si>
    <t>Sales Executive</t>
  </si>
  <si>
    <t>EMP005</t>
  </si>
  <si>
    <t>Robert Brown</t>
  </si>
  <si>
    <t>Marketing</t>
  </si>
  <si>
    <t>Marketing Manager</t>
  </si>
  <si>
    <t>EMP006</t>
  </si>
  <si>
    <t>Linda White</t>
  </si>
  <si>
    <t>Operations</t>
  </si>
  <si>
    <t>Operations Officer</t>
  </si>
  <si>
    <t>EMP007</t>
  </si>
  <si>
    <t>David Wilson</t>
  </si>
  <si>
    <t>Junior Accountant</t>
  </si>
  <si>
    <t>EMP008</t>
  </si>
  <si>
    <t>Olivia Martin</t>
  </si>
  <si>
    <t>IT Manager</t>
  </si>
  <si>
    <t>EMP009</t>
  </si>
  <si>
    <t>James Anderson</t>
  </si>
  <si>
    <t>HR Executive</t>
  </si>
  <si>
    <t>EMP010</t>
  </si>
  <si>
    <t>Sophia Thomas</t>
  </si>
  <si>
    <t>Sales Manager</t>
  </si>
  <si>
    <t>EMP011</t>
  </si>
  <si>
    <t>Daniel Harris</t>
  </si>
  <si>
    <t>Financial Analyst</t>
  </si>
  <si>
    <t>EMP012</t>
  </si>
  <si>
    <t>Isabella King</t>
  </si>
  <si>
    <t>System Administrator</t>
  </si>
  <si>
    <t>EMP013</t>
  </si>
  <si>
    <t>Ethan Scott</t>
  </si>
  <si>
    <t>Logistics Coordinator</t>
  </si>
  <si>
    <t>EMP014</t>
  </si>
  <si>
    <t>Grace Moore</t>
  </si>
  <si>
    <t>Digital Marketing Exec</t>
  </si>
  <si>
    <t>EMP015</t>
  </si>
  <si>
    <t>William Hall</t>
  </si>
  <si>
    <t>Talent Acquisition</t>
  </si>
  <si>
    <t>EMP016</t>
  </si>
  <si>
    <t>Chloe Turner</t>
  </si>
  <si>
    <t>Cybersecurity Analyst</t>
  </si>
  <si>
    <t>EMP017</t>
  </si>
  <si>
    <t>Benjamin White</t>
  </si>
  <si>
    <t>Business Development</t>
  </si>
  <si>
    <t>EMP018</t>
  </si>
  <si>
    <t>Ava Roberts</t>
  </si>
  <si>
    <t>Procurement Officer</t>
  </si>
  <si>
    <t>EMP019</t>
  </si>
  <si>
    <t>Henry Walker</t>
  </si>
  <si>
    <t>Tax Consultant</t>
  </si>
  <si>
    <t>EMP020</t>
  </si>
  <si>
    <t>Mia Collins</t>
  </si>
  <si>
    <t>Employee Relations</t>
  </si>
  <si>
    <t>Basic Salary</t>
  </si>
  <si>
    <t>Basic  Salary</t>
  </si>
  <si>
    <t>Dept</t>
  </si>
  <si>
    <t>Bonus  Calculation</t>
  </si>
  <si>
    <t>Department Name</t>
  </si>
  <si>
    <t>Employee  Names</t>
  </si>
  <si>
    <t>Search  the  text</t>
  </si>
  <si>
    <t>DA</t>
  </si>
  <si>
    <t>HRA</t>
  </si>
  <si>
    <t>Total Salary</t>
  </si>
  <si>
    <t>Employee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</si>
</sst>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009]\ #,##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sz val="11"/>
      <color rgb="FF002060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9" fillId="0" borderId="1" xfId="0" applyNumberFormat="1" applyFont="1" applyBorder="1" applyAlignment="1">
      <alignment vertical="center" wrapText="1"/>
    </xf>
    <xf numFmtId="165" fontId="9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12"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1EF4-769D-452B-912F-25AED5F05A97}">
  <sheetPr>
    <tabColor rgb="FF002060"/>
  </sheetPr>
  <dimension ref="B1:Z25"/>
  <sheetViews>
    <sheetView showGridLines="0" tabSelected="1" workbookViewId="0">
      <selection activeCell="W12" sqref="W12:X13"/>
    </sheetView>
  </sheetViews>
  <sheetFormatPr defaultRowHeight="14.4" x14ac:dyDescent="0.3"/>
  <cols>
    <col min="2" max="2" width="15.33203125" customWidth="1"/>
    <col min="3" max="3" width="17.88671875" customWidth="1"/>
    <col min="4" max="4" width="16.44140625" customWidth="1"/>
    <col min="5" max="5" width="22.6640625" customWidth="1"/>
    <col min="6" max="6" width="16.109375" customWidth="1"/>
    <col min="7" max="7" width="21.88671875" customWidth="1"/>
    <col min="11" max="11" width="14.5546875" customWidth="1"/>
    <col min="12" max="12" width="19.33203125" customWidth="1"/>
    <col min="13" max="13" width="13.44140625" customWidth="1"/>
    <col min="14" max="14" width="13.109375" customWidth="1"/>
    <col min="15" max="15" width="14" customWidth="1"/>
    <col min="16" max="16" width="15.109375" customWidth="1"/>
    <col min="24" max="24" width="16.109375" customWidth="1"/>
    <col min="25" max="25" width="18.5546875" customWidth="1"/>
    <col min="26" max="26" width="18.109375" customWidth="1"/>
  </cols>
  <sheetData>
    <row r="1" spans="2:26" ht="19.95" customHeight="1" thickBot="1" x14ac:dyDescent="0.5">
      <c r="C1" s="48" t="s">
        <v>83</v>
      </c>
      <c r="D1" s="49"/>
      <c r="E1" s="49"/>
      <c r="F1" s="49"/>
      <c r="K1" s="20" t="s">
        <v>76</v>
      </c>
      <c r="L1" s="21"/>
      <c r="M1" s="21"/>
      <c r="N1" s="21"/>
      <c r="O1" s="21"/>
      <c r="P1" s="22"/>
    </row>
    <row r="2" spans="2:26" ht="19.95" customHeight="1" thickBot="1" x14ac:dyDescent="0.35">
      <c r="K2" s="23"/>
      <c r="L2" s="24"/>
      <c r="M2" s="24"/>
      <c r="N2" s="24"/>
      <c r="O2" s="24"/>
      <c r="P2" s="25"/>
      <c r="X2" s="9" t="s">
        <v>17</v>
      </c>
      <c r="Y2" s="10" t="s">
        <v>13</v>
      </c>
      <c r="Z2" s="11" t="s">
        <v>8</v>
      </c>
    </row>
    <row r="3" spans="2:26" ht="19.95" customHeight="1" x14ac:dyDescent="0.3">
      <c r="B3" s="39" t="s">
        <v>0</v>
      </c>
      <c r="C3" s="40" t="s">
        <v>1</v>
      </c>
      <c r="D3" s="40" t="s">
        <v>2</v>
      </c>
      <c r="E3" s="40" t="s">
        <v>3</v>
      </c>
      <c r="F3" s="40" t="s">
        <v>73</v>
      </c>
      <c r="G3" s="41" t="s">
        <v>4</v>
      </c>
      <c r="K3" s="4" t="s">
        <v>75</v>
      </c>
      <c r="L3" s="3" t="s">
        <v>8</v>
      </c>
      <c r="M3" s="3" t="s">
        <v>13</v>
      </c>
      <c r="N3" s="3" t="s">
        <v>21</v>
      </c>
      <c r="O3" s="3" t="s">
        <v>25</v>
      </c>
      <c r="P3" s="5" t="s">
        <v>29</v>
      </c>
      <c r="X3" s="12" t="s">
        <v>16</v>
      </c>
      <c r="Y3" s="13" t="s">
        <v>11</v>
      </c>
      <c r="Z3" s="14" t="s">
        <v>6</v>
      </c>
    </row>
    <row r="4" spans="2:26" ht="19.95" customHeight="1" x14ac:dyDescent="0.3">
      <c r="B4" s="42" t="s">
        <v>5</v>
      </c>
      <c r="C4" s="43" t="s">
        <v>6</v>
      </c>
      <c r="D4" s="43" t="s">
        <v>7</v>
      </c>
      <c r="E4" s="43" t="s">
        <v>8</v>
      </c>
      <c r="F4" s="50">
        <v>5000</v>
      </c>
      <c r="G4" s="44" t="s">
        <v>9</v>
      </c>
      <c r="K4" s="4" t="s">
        <v>74</v>
      </c>
      <c r="L4" s="2">
        <v>0.05</v>
      </c>
      <c r="M4" s="2">
        <v>0.08</v>
      </c>
      <c r="N4" s="2">
        <v>0.06</v>
      </c>
      <c r="O4" s="2">
        <v>7.0000000000000007E-2</v>
      </c>
      <c r="P4" s="6">
        <v>0.04</v>
      </c>
      <c r="X4" s="12" t="s">
        <v>35</v>
      </c>
      <c r="Y4" s="13" t="s">
        <v>38</v>
      </c>
      <c r="Z4" s="14" t="s">
        <v>32</v>
      </c>
    </row>
    <row r="5" spans="2:26" ht="19.95" customHeight="1" x14ac:dyDescent="0.3">
      <c r="B5" s="42" t="s">
        <v>10</v>
      </c>
      <c r="C5" s="43" t="s">
        <v>11</v>
      </c>
      <c r="D5" s="43" t="s">
        <v>12</v>
      </c>
      <c r="E5" s="43" t="s">
        <v>13</v>
      </c>
      <c r="F5" s="50">
        <v>4500</v>
      </c>
      <c r="G5" s="44" t="s">
        <v>14</v>
      </c>
      <c r="K5" s="7">
        <v>6000</v>
      </c>
      <c r="L5" s="1">
        <f>$K5*L$4</f>
        <v>300</v>
      </c>
      <c r="M5" s="1">
        <f t="shared" ref="M5:P5" si="0">$K5*M$4</f>
        <v>480</v>
      </c>
      <c r="N5" s="1">
        <f t="shared" si="0"/>
        <v>360</v>
      </c>
      <c r="O5" s="1">
        <f t="shared" si="0"/>
        <v>420.00000000000006</v>
      </c>
      <c r="P5" s="1">
        <f t="shared" si="0"/>
        <v>240</v>
      </c>
      <c r="X5" s="12" t="s">
        <v>47</v>
      </c>
      <c r="Y5" s="13" t="s">
        <v>56</v>
      </c>
      <c r="Z5" s="14" t="s">
        <v>44</v>
      </c>
    </row>
    <row r="6" spans="2:26" ht="19.95" customHeight="1" thickBot="1" x14ac:dyDescent="0.35">
      <c r="B6" s="42" t="s">
        <v>15</v>
      </c>
      <c r="C6" s="43" t="s">
        <v>16</v>
      </c>
      <c r="D6" s="43" t="s">
        <v>7</v>
      </c>
      <c r="E6" s="43" t="s">
        <v>17</v>
      </c>
      <c r="F6" s="50">
        <v>6000</v>
      </c>
      <c r="G6" s="44" t="s">
        <v>18</v>
      </c>
      <c r="K6" s="7">
        <v>8000</v>
      </c>
      <c r="L6" s="1">
        <f t="shared" ref="L6:P9" si="1">$K6*L$4</f>
        <v>400</v>
      </c>
      <c r="M6" s="1">
        <f t="shared" si="1"/>
        <v>640</v>
      </c>
      <c r="N6" s="1">
        <f t="shared" si="1"/>
        <v>480</v>
      </c>
      <c r="O6" s="1">
        <f t="shared" si="1"/>
        <v>560</v>
      </c>
      <c r="P6" s="1">
        <f t="shared" si="1"/>
        <v>320</v>
      </c>
      <c r="X6" s="15" t="s">
        <v>59</v>
      </c>
      <c r="Y6" s="16" t="s">
        <v>71</v>
      </c>
      <c r="Z6" s="17" t="s">
        <v>68</v>
      </c>
    </row>
    <row r="7" spans="2:26" ht="19.95" customHeight="1" x14ac:dyDescent="0.3">
      <c r="B7" s="42" t="s">
        <v>19</v>
      </c>
      <c r="C7" s="43" t="s">
        <v>20</v>
      </c>
      <c r="D7" s="43" t="s">
        <v>12</v>
      </c>
      <c r="E7" s="43" t="s">
        <v>21</v>
      </c>
      <c r="F7" s="50">
        <v>4200</v>
      </c>
      <c r="G7" s="44" t="s">
        <v>22</v>
      </c>
      <c r="K7" s="7">
        <v>10000</v>
      </c>
      <c r="L7" s="1">
        <f t="shared" si="1"/>
        <v>500</v>
      </c>
      <c r="M7" s="1">
        <f t="shared" si="1"/>
        <v>800</v>
      </c>
      <c r="N7" s="1">
        <f t="shared" si="1"/>
        <v>600</v>
      </c>
      <c r="O7" s="1">
        <f t="shared" si="1"/>
        <v>700.00000000000011</v>
      </c>
      <c r="P7" s="1">
        <f t="shared" si="1"/>
        <v>400</v>
      </c>
    </row>
    <row r="8" spans="2:26" ht="19.95" customHeight="1" x14ac:dyDescent="0.3">
      <c r="B8" s="42" t="s">
        <v>23</v>
      </c>
      <c r="C8" s="43" t="s">
        <v>24</v>
      </c>
      <c r="D8" s="43" t="s">
        <v>7</v>
      </c>
      <c r="E8" s="43" t="s">
        <v>25</v>
      </c>
      <c r="F8" s="50">
        <v>5500</v>
      </c>
      <c r="G8" s="44" t="s">
        <v>26</v>
      </c>
      <c r="K8" s="7">
        <v>12000</v>
      </c>
      <c r="L8" s="1">
        <f t="shared" si="1"/>
        <v>600</v>
      </c>
      <c r="M8" s="1">
        <f t="shared" si="1"/>
        <v>960</v>
      </c>
      <c r="N8" s="1">
        <f t="shared" si="1"/>
        <v>720</v>
      </c>
      <c r="O8" s="1">
        <f t="shared" si="1"/>
        <v>840.00000000000011</v>
      </c>
      <c r="P8" s="1">
        <f t="shared" si="1"/>
        <v>480</v>
      </c>
    </row>
    <row r="9" spans="2:26" ht="19.95" customHeight="1" thickBot="1" x14ac:dyDescent="0.35">
      <c r="B9" s="42" t="s">
        <v>27</v>
      </c>
      <c r="C9" s="43" t="s">
        <v>28</v>
      </c>
      <c r="D9" s="43" t="s">
        <v>12</v>
      </c>
      <c r="E9" s="43" t="s">
        <v>29</v>
      </c>
      <c r="F9" s="50">
        <v>4800</v>
      </c>
      <c r="G9" s="44" t="s">
        <v>30</v>
      </c>
      <c r="K9" s="8">
        <v>15000</v>
      </c>
      <c r="L9" s="1">
        <f t="shared" si="1"/>
        <v>750</v>
      </c>
      <c r="M9" s="1">
        <f t="shared" si="1"/>
        <v>1200</v>
      </c>
      <c r="N9" s="1">
        <f t="shared" si="1"/>
        <v>900</v>
      </c>
      <c r="O9" s="1">
        <f t="shared" si="1"/>
        <v>1050</v>
      </c>
      <c r="P9" s="1">
        <f t="shared" si="1"/>
        <v>600</v>
      </c>
    </row>
    <row r="10" spans="2:26" ht="19.95" customHeight="1" x14ac:dyDescent="0.3">
      <c r="B10" s="42" t="s">
        <v>31</v>
      </c>
      <c r="C10" s="43" t="s">
        <v>32</v>
      </c>
      <c r="D10" s="43" t="s">
        <v>7</v>
      </c>
      <c r="E10" s="43" t="s">
        <v>8</v>
      </c>
      <c r="F10" s="50">
        <v>4700</v>
      </c>
      <c r="G10" s="44" t="s">
        <v>33</v>
      </c>
      <c r="S10" s="26" t="s">
        <v>77</v>
      </c>
      <c r="T10" s="27"/>
      <c r="U10" s="27"/>
      <c r="V10" s="28"/>
      <c r="W10" s="32" t="s">
        <v>17</v>
      </c>
      <c r="X10" s="33"/>
    </row>
    <row r="11" spans="2:26" ht="19.95" customHeight="1" thickBot="1" x14ac:dyDescent="0.35">
      <c r="B11" s="42" t="s">
        <v>34</v>
      </c>
      <c r="C11" s="43" t="s">
        <v>35</v>
      </c>
      <c r="D11" s="43" t="s">
        <v>12</v>
      </c>
      <c r="E11" s="43" t="s">
        <v>17</v>
      </c>
      <c r="F11" s="50">
        <v>6500</v>
      </c>
      <c r="G11" s="44" t="s">
        <v>36</v>
      </c>
      <c r="S11" s="29"/>
      <c r="T11" s="30"/>
      <c r="U11" s="30"/>
      <c r="V11" s="31"/>
      <c r="W11" s="34"/>
      <c r="X11" s="35"/>
    </row>
    <row r="12" spans="2:26" ht="19.95" customHeight="1" thickBot="1" x14ac:dyDescent="0.35">
      <c r="B12" s="42" t="s">
        <v>37</v>
      </c>
      <c r="C12" s="43" t="s">
        <v>38</v>
      </c>
      <c r="D12" s="43" t="s">
        <v>7</v>
      </c>
      <c r="E12" s="43" t="s">
        <v>13</v>
      </c>
      <c r="F12" s="50">
        <v>4000</v>
      </c>
      <c r="G12" s="44" t="s">
        <v>39</v>
      </c>
      <c r="S12" s="26" t="s">
        <v>78</v>
      </c>
      <c r="T12" s="27"/>
      <c r="U12" s="27"/>
      <c r="V12" s="28"/>
      <c r="W12" s="32" t="s">
        <v>47</v>
      </c>
      <c r="X12" s="33"/>
    </row>
    <row r="13" spans="2:26" ht="19.95" customHeight="1" thickBot="1" x14ac:dyDescent="0.35">
      <c r="B13" s="42" t="s">
        <v>40</v>
      </c>
      <c r="C13" s="43" t="s">
        <v>41</v>
      </c>
      <c r="D13" s="43" t="s">
        <v>12</v>
      </c>
      <c r="E13" s="43" t="s">
        <v>21</v>
      </c>
      <c r="F13" s="50">
        <v>4300</v>
      </c>
      <c r="G13" s="44" t="s">
        <v>42</v>
      </c>
      <c r="I13" s="36" t="s">
        <v>79</v>
      </c>
      <c r="J13" s="37"/>
      <c r="K13" s="38"/>
      <c r="L13" s="18" t="s">
        <v>17</v>
      </c>
      <c r="S13" s="29"/>
      <c r="T13" s="30"/>
      <c r="U13" s="30"/>
      <c r="V13" s="31"/>
      <c r="W13" s="34"/>
      <c r="X13" s="35"/>
    </row>
    <row r="14" spans="2:26" ht="19.95" customHeight="1" x14ac:dyDescent="0.3">
      <c r="B14" s="42" t="s">
        <v>43</v>
      </c>
      <c r="C14" s="43" t="s">
        <v>44</v>
      </c>
      <c r="D14" s="43" t="s">
        <v>7</v>
      </c>
      <c r="E14" s="43" t="s">
        <v>8</v>
      </c>
      <c r="F14" s="50">
        <v>5200</v>
      </c>
      <c r="G14" s="44" t="s">
        <v>45</v>
      </c>
    </row>
    <row r="15" spans="2:26" ht="19.95" customHeight="1" x14ac:dyDescent="0.3">
      <c r="B15" s="42" t="s">
        <v>46</v>
      </c>
      <c r="C15" s="43" t="s">
        <v>47</v>
      </c>
      <c r="D15" s="43" t="s">
        <v>12</v>
      </c>
      <c r="E15" s="43" t="s">
        <v>17</v>
      </c>
      <c r="F15" s="50">
        <v>6200</v>
      </c>
      <c r="G15" s="44" t="s">
        <v>48</v>
      </c>
    </row>
    <row r="16" spans="2:26" ht="19.95" customHeight="1" x14ac:dyDescent="0.3">
      <c r="B16" s="42" t="s">
        <v>49</v>
      </c>
      <c r="C16" s="43" t="s">
        <v>50</v>
      </c>
      <c r="D16" s="43" t="s">
        <v>7</v>
      </c>
      <c r="E16" s="43" t="s">
        <v>29</v>
      </c>
      <c r="F16" s="50">
        <v>4600</v>
      </c>
      <c r="G16" s="44" t="s">
        <v>51</v>
      </c>
    </row>
    <row r="17" spans="2:14" ht="19.95" customHeight="1" x14ac:dyDescent="0.3">
      <c r="B17" s="42" t="s">
        <v>52</v>
      </c>
      <c r="C17" s="43" t="s">
        <v>53</v>
      </c>
      <c r="D17" s="43" t="s">
        <v>12</v>
      </c>
      <c r="E17" s="43" t="s">
        <v>25</v>
      </c>
      <c r="F17" s="50">
        <v>4900</v>
      </c>
      <c r="G17" s="44" t="s">
        <v>54</v>
      </c>
      <c r="M17" s="19" t="s">
        <v>74</v>
      </c>
      <c r="N17" s="19">
        <v>50000</v>
      </c>
    </row>
    <row r="18" spans="2:14" ht="19.95" customHeight="1" x14ac:dyDescent="0.3">
      <c r="B18" s="42" t="s">
        <v>55</v>
      </c>
      <c r="C18" s="43" t="s">
        <v>56</v>
      </c>
      <c r="D18" s="43" t="s">
        <v>7</v>
      </c>
      <c r="E18" s="43" t="s">
        <v>13</v>
      </c>
      <c r="F18" s="50">
        <v>4700</v>
      </c>
      <c r="G18" s="44" t="s">
        <v>57</v>
      </c>
      <c r="M18" s="19" t="s">
        <v>80</v>
      </c>
      <c r="N18" s="19">
        <v>10000</v>
      </c>
    </row>
    <row r="19" spans="2:14" ht="19.95" customHeight="1" x14ac:dyDescent="0.3">
      <c r="B19" s="42" t="s">
        <v>58</v>
      </c>
      <c r="C19" s="43" t="s">
        <v>59</v>
      </c>
      <c r="D19" s="43" t="s">
        <v>12</v>
      </c>
      <c r="E19" s="43" t="s">
        <v>17</v>
      </c>
      <c r="F19" s="50">
        <v>5800</v>
      </c>
      <c r="G19" s="44" t="s">
        <v>60</v>
      </c>
      <c r="M19" s="19" t="s">
        <v>81</v>
      </c>
      <c r="N19" s="19">
        <f ca="1">N20*20%</f>
        <v>14999.99999998034</v>
      </c>
    </row>
    <row r="20" spans="2:14" ht="19.95" customHeight="1" x14ac:dyDescent="0.3">
      <c r="B20" s="42" t="s">
        <v>61</v>
      </c>
      <c r="C20" s="43" t="s">
        <v>62</v>
      </c>
      <c r="D20" s="43" t="s">
        <v>7</v>
      </c>
      <c r="E20" s="43" t="s">
        <v>21</v>
      </c>
      <c r="F20" s="50">
        <v>4400</v>
      </c>
      <c r="G20" s="44" t="s">
        <v>63</v>
      </c>
      <c r="M20" s="19" t="s">
        <v>82</v>
      </c>
      <c r="N20" s="19">
        <f ca="1">N17+N18+N19</f>
        <v>74999.99999998034</v>
      </c>
    </row>
    <row r="21" spans="2:14" ht="19.95" customHeight="1" x14ac:dyDescent="0.3">
      <c r="B21" s="42" t="s">
        <v>64</v>
      </c>
      <c r="C21" s="43" t="s">
        <v>65</v>
      </c>
      <c r="D21" s="43" t="s">
        <v>12</v>
      </c>
      <c r="E21" s="43" t="s">
        <v>29</v>
      </c>
      <c r="F21" s="50">
        <v>4500</v>
      </c>
      <c r="G21" s="44" t="s">
        <v>66</v>
      </c>
    </row>
    <row r="22" spans="2:14" ht="19.95" customHeight="1" x14ac:dyDescent="0.3">
      <c r="B22" s="42" t="s">
        <v>67</v>
      </c>
      <c r="C22" s="43" t="s">
        <v>68</v>
      </c>
      <c r="D22" s="43" t="s">
        <v>7</v>
      </c>
      <c r="E22" s="43" t="s">
        <v>8</v>
      </c>
      <c r="F22" s="50">
        <v>5100</v>
      </c>
      <c r="G22" s="44" t="s">
        <v>69</v>
      </c>
    </row>
    <row r="23" spans="2:14" ht="19.95" customHeight="1" thickBot="1" x14ac:dyDescent="0.35">
      <c r="B23" s="45" t="s">
        <v>70</v>
      </c>
      <c r="C23" s="46" t="s">
        <v>71</v>
      </c>
      <c r="D23" s="46" t="s">
        <v>12</v>
      </c>
      <c r="E23" s="46" t="s">
        <v>13</v>
      </c>
      <c r="F23" s="51">
        <v>4600</v>
      </c>
      <c r="G23" s="47" t="s">
        <v>72</v>
      </c>
    </row>
    <row r="24" spans="2:14" ht="19.95" customHeight="1" x14ac:dyDescent="0.3"/>
    <row r="25" spans="2:14" ht="19.95" customHeight="1" x14ac:dyDescent="0.3"/>
  </sheetData>
  <mergeCells count="7">
    <mergeCell ref="C1:F1"/>
    <mergeCell ref="K1:P2"/>
    <mergeCell ref="S10:V11"/>
    <mergeCell ref="W10:X11"/>
    <mergeCell ref="S12:V13"/>
    <mergeCell ref="W12:X13"/>
    <mergeCell ref="I13:K13"/>
  </mergeCells>
  <phoneticPr fontId="2" type="noConversion"/>
  <conditionalFormatting sqref="F4:F23">
    <cfRule type="top10" dxfId="4" priority="5" rank="3"/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{03BE1050-F391-451A-8C66-C97842745788}</x14:id>
        </ext>
      </extLst>
    </cfRule>
  </conditionalFormatting>
  <conditionalFormatting sqref="C4:C23">
    <cfRule type="expression" dxfId="3" priority="2">
      <formula>$F4&gt;6000</formula>
    </cfRule>
  </conditionalFormatting>
  <conditionalFormatting sqref="B4:G23">
    <cfRule type="expression" dxfId="2" priority="1">
      <formula>$E4=$L$13</formula>
    </cfRule>
  </conditionalFormatting>
  <dataValidations count="6">
    <dataValidation type="whole" allowBlank="1" showInputMessage="1" showErrorMessage="1" prompt="Accept only values between 1000 and 1000000" sqref="F4:F23" xr:uid="{963DD1A9-E68C-434C-B792-C5F9C7146331}">
      <formula1>1000</formula1>
      <formula2>1000000</formula2>
    </dataValidation>
    <dataValidation type="custom" allowBlank="1" showInputMessage="1" showErrorMessage="1" sqref="C4:C23" xr:uid="{3CC59B58-2209-481A-BB37-89FF4EDAD1A1}">
      <formula1>ISTEXT(C4)</formula1>
    </dataValidation>
    <dataValidation type="list" allowBlank="1" showInputMessage="1" showErrorMessage="1" sqref="D4:D23" xr:uid="{0402C2C3-980C-46E4-83F3-AB8D056A40F6}">
      <formula1>$D$4:$D$5</formula1>
    </dataValidation>
    <dataValidation type="list" allowBlank="1" showInputMessage="1" showErrorMessage="1" sqref="E4:E23 L13" xr:uid="{E0CF0BC2-F408-4637-A702-A4AED7554A97}">
      <formula1>$E$4:$E$9</formula1>
    </dataValidation>
    <dataValidation type="list" allowBlank="1" showInputMessage="1" showErrorMessage="1" sqref="W10:X11" xr:uid="{0194C168-224F-40CD-9554-6EB176A99D78}">
      <formula1>$X$2:$Z$2</formula1>
    </dataValidation>
    <dataValidation type="list" allowBlank="1" showInputMessage="1" showErrorMessage="1" sqref="W12:X13" xr:uid="{FA18EAD0-66CE-4F7A-B758-28400FE20B32}">
      <formula1>INDIRECT($W$10)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BE1050-F391-451A-8C66-C97842745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iconSet" priority="3" id="{E892B1DD-71A3-4794-88E4-6B34D4B000D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6500</xm:f>
              </x14:cfvo>
              <x14:cfIcon iconSet="NoIcons" iconId="0"/>
              <x14:cfIcon iconSet="NoIcons" iconId="0"/>
              <x14:cfIcon iconSet="3Symbols" iconId="2"/>
            </x14:iconSet>
          </x14:cfRule>
          <xm:sqref>F4:F23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HR Dashboard</vt:lpstr>
      <vt:lpstr>Finance</vt:lpstr>
      <vt:lpstr>HR</vt:lpstr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Kausalya Sumesh</cp:lastModifiedBy>
  <dcterms:created xsi:type="dcterms:W3CDTF">2025-03-20T14:31:01Z</dcterms:created>
  <dcterms:modified xsi:type="dcterms:W3CDTF">2026-07-02T11:39:54Z</dcterms:modified>
</cp:coreProperties>
</file>