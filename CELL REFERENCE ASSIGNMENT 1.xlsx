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usa\Desktop\Data Analytics\Advanced Excel\"/>
    </mc:Choice>
  </mc:AlternateContent>
  <xr:revisionPtr revIDLastSave="0" documentId="8_{FDCDA2F9-D6E3-4EE5-BB12-6F6C9C428AA9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Questions" sheetId="2" r:id="rId1"/>
    <sheet name="Database 1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M3" i="1"/>
  <c r="N3" i="1"/>
  <c r="M4" i="1"/>
  <c r="N4" i="1"/>
  <c r="M5" i="1"/>
  <c r="N5" i="1"/>
  <c r="M6" i="1"/>
  <c r="N6" i="1"/>
  <c r="L4" i="1"/>
  <c r="L5" i="1"/>
  <c r="L6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</calcChain>
</file>

<file path=xl/sharedStrings.xml><?xml version="1.0" encoding="utf-8"?>
<sst xmlns="http://schemas.openxmlformats.org/spreadsheetml/2006/main" count="460" uniqueCount="38">
  <si>
    <t>Date</t>
  </si>
  <si>
    <t>Database 1 Sheet</t>
  </si>
  <si>
    <t>1. Calculate Bank Charges based on cell G2.</t>
  </si>
  <si>
    <t>2. Calculate Paid Amount.</t>
  </si>
  <si>
    <t>3. Calculate Discounted Amount in cell range L3:N6. First apply the formula in cell L3 then fill other cells by drag the formuly.</t>
  </si>
  <si>
    <t>Fill blank cell by proper formula</t>
  </si>
  <si>
    <t>Description</t>
  </si>
  <si>
    <t>Category</t>
  </si>
  <si>
    <t>Actual Amount</t>
  </si>
  <si>
    <t>Type</t>
  </si>
  <si>
    <t>Account</t>
  </si>
  <si>
    <t>Paid Amount</t>
  </si>
  <si>
    <t>Phone Bill</t>
  </si>
  <si>
    <t>Utilities</t>
  </si>
  <si>
    <t>Expences</t>
  </si>
  <si>
    <t>ICICI CC</t>
  </si>
  <si>
    <t>Electricity Bill</t>
  </si>
  <si>
    <t>SBI CC</t>
  </si>
  <si>
    <t>Grocery Shopping</t>
  </si>
  <si>
    <t>Grocery</t>
  </si>
  <si>
    <t>Paytm</t>
  </si>
  <si>
    <t>Water Bill</t>
  </si>
  <si>
    <t>Indian Bank</t>
  </si>
  <si>
    <t>Salary</t>
  </si>
  <si>
    <t>Income</t>
  </si>
  <si>
    <t>Property rent for tenant</t>
  </si>
  <si>
    <t>Property Rent</t>
  </si>
  <si>
    <t>Internet Bill</t>
  </si>
  <si>
    <t>Medicines</t>
  </si>
  <si>
    <t>Medicals</t>
  </si>
  <si>
    <t>Car Fuel</t>
  </si>
  <si>
    <t>Fuel</t>
  </si>
  <si>
    <t>Car Repair Charges</t>
  </si>
  <si>
    <t>Car Maintenance</t>
  </si>
  <si>
    <t>Fast Food</t>
  </si>
  <si>
    <t>Dining</t>
  </si>
  <si>
    <t>Discounted Amount</t>
  </si>
  <si>
    <t>Bank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</si>
</sst>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top"/>
    </xf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2" fontId="1" fillId="0" borderId="1" xfId="1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381001</xdr:colOff>
      <xdr:row>4</xdr:row>
      <xdr:rowOff>133349</xdr:rowOff>
    </xdr:to>
    <xdr:pic>
      <xdr:nvPicPr>
        <xdr:cNvPr id="3" name="Picture 2" descr="Skillspar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990600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workbookViewId="0">
      <selection activeCell="C5" sqref="C5"/>
    </sheetView>
  </sheetViews>
  <sheetFormatPr defaultRowHeight="14.4" x14ac:dyDescent="0.3"/>
  <sheetData>
    <row r="1" spans="1:16" ht="29.4" x14ac:dyDescent="0.6">
      <c r="C1" s="12" t="s">
        <v>5</v>
      </c>
      <c r="D1" s="12"/>
      <c r="E1" s="12"/>
      <c r="F1" s="12"/>
      <c r="G1" s="12"/>
      <c r="H1" s="12"/>
      <c r="I1" s="12"/>
      <c r="J1" s="12"/>
      <c r="K1" s="3"/>
      <c r="L1" s="3"/>
      <c r="M1" s="3"/>
      <c r="N1" s="3"/>
      <c r="O1" s="3"/>
      <c r="P1" s="3"/>
    </row>
    <row r="7" spans="1:16" ht="15.6" x14ac:dyDescent="0.3">
      <c r="A7" s="4" t="s">
        <v>1</v>
      </c>
    </row>
    <row r="8" spans="1:16" x14ac:dyDescent="0.3">
      <c r="A8" s="1" t="s">
        <v>2</v>
      </c>
    </row>
    <row r="9" spans="1:16" x14ac:dyDescent="0.3">
      <c r="A9" s="1" t="s">
        <v>3</v>
      </c>
    </row>
    <row r="10" spans="1:16" x14ac:dyDescent="0.3">
      <c r="A10" s="1" t="s">
        <v>4</v>
      </c>
    </row>
    <row r="12" spans="1:16" ht="15.6" x14ac:dyDescent="0.3">
      <c r="A12" s="4"/>
    </row>
    <row r="13" spans="1:1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6" ht="21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  <row r="17" spans="1:1" ht="15.6" x14ac:dyDescent="0.3">
      <c r="A17" s="4"/>
    </row>
    <row r="18" spans="1:1" x14ac:dyDescent="0.3">
      <c r="A18" s="1"/>
    </row>
    <row r="19" spans="1:1" x14ac:dyDescent="0.3">
      <c r="A19" s="1"/>
    </row>
  </sheetData>
  <mergeCells count="1">
    <mergeCell ref="C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showGridLines="0" tabSelected="1" topLeftCell="E1" zoomScale="125" workbookViewId="0">
      <selection activeCell="F11" sqref="F11"/>
    </sheetView>
  </sheetViews>
  <sheetFormatPr defaultRowHeight="14.4" x14ac:dyDescent="0.3"/>
  <cols>
    <col min="1" max="1" width="12.6640625" bestFit="1" customWidth="1"/>
    <col min="2" max="2" width="24.109375" bestFit="1" customWidth="1"/>
    <col min="3" max="3" width="17.88671875" bestFit="1" customWidth="1"/>
    <col min="4" max="4" width="16.44140625" bestFit="1" customWidth="1"/>
    <col min="5" max="5" width="15.88671875" bestFit="1" customWidth="1"/>
    <col min="6" max="6" width="12.6640625" bestFit="1" customWidth="1"/>
    <col min="7" max="7" width="22" bestFit="1" customWidth="1"/>
    <col min="8" max="8" width="14.109375" bestFit="1" customWidth="1"/>
    <col min="9" max="9" width="4.44140625" customWidth="1"/>
    <col min="10" max="10" width="14.44140625" bestFit="1" customWidth="1"/>
    <col min="11" max="11" width="16.33203125" bestFit="1" customWidth="1"/>
  </cols>
  <sheetData>
    <row r="1" spans="1:14" x14ac:dyDescent="0.3">
      <c r="A1" s="17" t="s">
        <v>0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6" t="s">
        <v>37</v>
      </c>
      <c r="H1" s="13" t="s">
        <v>11</v>
      </c>
      <c r="J1" s="15" t="s">
        <v>7</v>
      </c>
      <c r="K1" s="15" t="s">
        <v>8</v>
      </c>
      <c r="L1" s="16" t="s">
        <v>36</v>
      </c>
      <c r="M1" s="16"/>
      <c r="N1" s="16"/>
    </row>
    <row r="2" spans="1:14" x14ac:dyDescent="0.3">
      <c r="A2" s="14"/>
      <c r="B2" s="14"/>
      <c r="C2" s="14"/>
      <c r="D2" s="14"/>
      <c r="E2" s="14"/>
      <c r="F2" s="14"/>
      <c r="G2" s="7">
        <v>0.1</v>
      </c>
      <c r="H2" s="14"/>
      <c r="J2" s="15"/>
      <c r="K2" s="15"/>
      <c r="L2" s="7">
        <v>0.2</v>
      </c>
      <c r="M2" s="7">
        <v>0.3</v>
      </c>
      <c r="N2" s="7">
        <v>0.4</v>
      </c>
    </row>
    <row r="3" spans="1:14" x14ac:dyDescent="0.3">
      <c r="A3" s="8">
        <v>42949</v>
      </c>
      <c r="B3" s="9" t="s">
        <v>12</v>
      </c>
      <c r="C3" s="2" t="s">
        <v>13</v>
      </c>
      <c r="D3" s="2">
        <v>430</v>
      </c>
      <c r="E3" s="9" t="s">
        <v>14</v>
      </c>
      <c r="F3" s="9" t="s">
        <v>15</v>
      </c>
      <c r="G3" s="10">
        <f>SUM(D3*G2)</f>
        <v>43</v>
      </c>
      <c r="H3" s="11">
        <f>SUM(D3+G3)</f>
        <v>473</v>
      </c>
      <c r="J3" s="9" t="s">
        <v>19</v>
      </c>
      <c r="K3" s="2">
        <v>1280</v>
      </c>
      <c r="L3" s="2">
        <f>$K3*L$2</f>
        <v>256</v>
      </c>
      <c r="M3" s="2">
        <f t="shared" ref="M3:N3" si="0">$K3*M$2</f>
        <v>384</v>
      </c>
      <c r="N3" s="2">
        <f t="shared" si="0"/>
        <v>512</v>
      </c>
    </row>
    <row r="4" spans="1:14" x14ac:dyDescent="0.3">
      <c r="A4" s="8">
        <v>42950</v>
      </c>
      <c r="B4" s="9" t="s">
        <v>16</v>
      </c>
      <c r="C4" s="2" t="s">
        <v>13</v>
      </c>
      <c r="D4" s="2">
        <v>875</v>
      </c>
      <c r="E4" s="9" t="s">
        <v>14</v>
      </c>
      <c r="F4" s="9" t="s">
        <v>17</v>
      </c>
      <c r="G4" s="10">
        <f>D4*$G$2</f>
        <v>87.5</v>
      </c>
      <c r="H4" s="11">
        <f t="shared" ref="H4:H67" si="1">SUM(D4+G4)</f>
        <v>962.5</v>
      </c>
      <c r="J4" s="9" t="s">
        <v>13</v>
      </c>
      <c r="K4" s="2">
        <v>500</v>
      </c>
      <c r="L4" s="2">
        <f t="shared" ref="L4:N6" si="2">$K4*L$2</f>
        <v>100</v>
      </c>
      <c r="M4" s="2">
        <f t="shared" si="2"/>
        <v>150</v>
      </c>
      <c r="N4" s="2">
        <f t="shared" si="2"/>
        <v>200</v>
      </c>
    </row>
    <row r="5" spans="1:14" x14ac:dyDescent="0.3">
      <c r="A5" s="8">
        <v>42950</v>
      </c>
      <c r="B5" s="9" t="s">
        <v>18</v>
      </c>
      <c r="C5" s="2" t="s">
        <v>19</v>
      </c>
      <c r="D5" s="2">
        <v>1280</v>
      </c>
      <c r="E5" s="9" t="s">
        <v>14</v>
      </c>
      <c r="F5" s="9" t="s">
        <v>20</v>
      </c>
      <c r="G5" s="10">
        <f t="shared" ref="G5:G68" si="3">D5*$G$2</f>
        <v>128</v>
      </c>
      <c r="H5" s="11">
        <f t="shared" si="1"/>
        <v>1408</v>
      </c>
      <c r="J5" s="9" t="s">
        <v>23</v>
      </c>
      <c r="K5" s="2">
        <v>25000</v>
      </c>
      <c r="L5" s="2">
        <f t="shared" si="2"/>
        <v>5000</v>
      </c>
      <c r="M5" s="2">
        <f t="shared" si="2"/>
        <v>7500</v>
      </c>
      <c r="N5" s="2">
        <f t="shared" si="2"/>
        <v>10000</v>
      </c>
    </row>
    <row r="6" spans="1:14" x14ac:dyDescent="0.3">
      <c r="A6" s="8">
        <v>42953</v>
      </c>
      <c r="B6" s="9" t="s">
        <v>21</v>
      </c>
      <c r="C6" s="2" t="s">
        <v>13</v>
      </c>
      <c r="D6" s="2">
        <v>500</v>
      </c>
      <c r="E6" s="9" t="s">
        <v>14</v>
      </c>
      <c r="F6" s="9" t="s">
        <v>22</v>
      </c>
      <c r="G6" s="10">
        <f t="shared" si="3"/>
        <v>50</v>
      </c>
      <c r="H6" s="11">
        <f t="shared" si="1"/>
        <v>550</v>
      </c>
      <c r="J6" s="9" t="s">
        <v>26</v>
      </c>
      <c r="K6" s="2">
        <v>7000</v>
      </c>
      <c r="L6" s="2">
        <f t="shared" si="2"/>
        <v>1400</v>
      </c>
      <c r="M6" s="2">
        <f t="shared" si="2"/>
        <v>2100</v>
      </c>
      <c r="N6" s="2">
        <f t="shared" si="2"/>
        <v>2800</v>
      </c>
    </row>
    <row r="7" spans="1:14" x14ac:dyDescent="0.3">
      <c r="A7" s="8">
        <v>42953</v>
      </c>
      <c r="B7" s="9" t="s">
        <v>23</v>
      </c>
      <c r="C7" s="2" t="s">
        <v>23</v>
      </c>
      <c r="D7" s="2">
        <v>25000</v>
      </c>
      <c r="E7" s="9" t="s">
        <v>24</v>
      </c>
      <c r="F7" s="9" t="s">
        <v>22</v>
      </c>
      <c r="G7" s="10">
        <f t="shared" si="3"/>
        <v>2500</v>
      </c>
      <c r="H7" s="11">
        <f t="shared" si="1"/>
        <v>27500</v>
      </c>
    </row>
    <row r="8" spans="1:14" x14ac:dyDescent="0.3">
      <c r="A8" s="8">
        <v>42953</v>
      </c>
      <c r="B8" s="9" t="s">
        <v>25</v>
      </c>
      <c r="C8" s="2" t="s">
        <v>26</v>
      </c>
      <c r="D8" s="2">
        <v>7000</v>
      </c>
      <c r="E8" s="9" t="s">
        <v>24</v>
      </c>
      <c r="F8" s="9" t="s">
        <v>22</v>
      </c>
      <c r="G8" s="10">
        <f t="shared" si="3"/>
        <v>700</v>
      </c>
      <c r="H8" s="11">
        <f t="shared" si="1"/>
        <v>7700</v>
      </c>
    </row>
    <row r="9" spans="1:14" x14ac:dyDescent="0.3">
      <c r="A9" s="8">
        <v>42953</v>
      </c>
      <c r="B9" s="9" t="s">
        <v>27</v>
      </c>
      <c r="C9" s="2" t="s">
        <v>13</v>
      </c>
      <c r="D9" s="2">
        <v>580</v>
      </c>
      <c r="E9" s="9" t="s">
        <v>14</v>
      </c>
      <c r="F9" s="9" t="s">
        <v>15</v>
      </c>
      <c r="G9" s="10">
        <f t="shared" si="3"/>
        <v>58</v>
      </c>
      <c r="H9" s="11">
        <f t="shared" si="1"/>
        <v>638</v>
      </c>
    </row>
    <row r="10" spans="1:14" x14ac:dyDescent="0.3">
      <c r="A10" s="8">
        <v>42958</v>
      </c>
      <c r="B10" s="9" t="s">
        <v>28</v>
      </c>
      <c r="C10" s="2" t="s">
        <v>29</v>
      </c>
      <c r="D10" s="2">
        <v>1050</v>
      </c>
      <c r="E10" s="9" t="s">
        <v>14</v>
      </c>
      <c r="F10" s="9" t="s">
        <v>17</v>
      </c>
      <c r="G10" s="10">
        <f t="shared" si="3"/>
        <v>105</v>
      </c>
      <c r="H10" s="11">
        <f t="shared" si="1"/>
        <v>1155</v>
      </c>
    </row>
    <row r="11" spans="1:14" x14ac:dyDescent="0.3">
      <c r="A11" s="8">
        <v>42968</v>
      </c>
      <c r="B11" s="9" t="s">
        <v>30</v>
      </c>
      <c r="C11" s="2" t="s">
        <v>31</v>
      </c>
      <c r="D11" s="2">
        <v>400</v>
      </c>
      <c r="E11" s="9" t="s">
        <v>14</v>
      </c>
      <c r="F11" s="9" t="s">
        <v>15</v>
      </c>
      <c r="G11" s="10">
        <f t="shared" si="3"/>
        <v>40</v>
      </c>
      <c r="H11" s="11">
        <f t="shared" si="1"/>
        <v>440</v>
      </c>
    </row>
    <row r="12" spans="1:14" x14ac:dyDescent="0.3">
      <c r="A12" s="8">
        <v>42968</v>
      </c>
      <c r="B12" s="9" t="s">
        <v>32</v>
      </c>
      <c r="C12" s="2" t="s">
        <v>33</v>
      </c>
      <c r="D12" s="2">
        <v>500</v>
      </c>
      <c r="E12" s="9" t="s">
        <v>14</v>
      </c>
      <c r="F12" s="9" t="s">
        <v>17</v>
      </c>
      <c r="G12" s="10">
        <f t="shared" si="3"/>
        <v>50</v>
      </c>
      <c r="H12" s="11">
        <f t="shared" si="1"/>
        <v>550</v>
      </c>
    </row>
    <row r="13" spans="1:14" x14ac:dyDescent="0.3">
      <c r="A13" s="8">
        <v>42968</v>
      </c>
      <c r="B13" s="9" t="s">
        <v>34</v>
      </c>
      <c r="C13" s="2" t="s">
        <v>35</v>
      </c>
      <c r="D13" s="2">
        <v>450</v>
      </c>
      <c r="E13" s="9" t="s">
        <v>14</v>
      </c>
      <c r="F13" s="9" t="s">
        <v>17</v>
      </c>
      <c r="G13" s="10">
        <f t="shared" si="3"/>
        <v>45</v>
      </c>
      <c r="H13" s="11">
        <f t="shared" si="1"/>
        <v>495</v>
      </c>
    </row>
    <row r="14" spans="1:14" x14ac:dyDescent="0.3">
      <c r="A14" s="8">
        <v>42980</v>
      </c>
      <c r="B14" s="9" t="s">
        <v>12</v>
      </c>
      <c r="C14" s="2" t="s">
        <v>13</v>
      </c>
      <c r="D14" s="2">
        <v>430</v>
      </c>
      <c r="E14" s="9" t="s">
        <v>14</v>
      </c>
      <c r="F14" s="9" t="s">
        <v>15</v>
      </c>
      <c r="G14" s="10">
        <f t="shared" si="3"/>
        <v>43</v>
      </c>
      <c r="H14" s="11">
        <f t="shared" si="1"/>
        <v>473</v>
      </c>
    </row>
    <row r="15" spans="1:14" x14ac:dyDescent="0.3">
      <c r="A15" s="8">
        <v>42981</v>
      </c>
      <c r="B15" s="9" t="s">
        <v>16</v>
      </c>
      <c r="C15" s="2" t="s">
        <v>13</v>
      </c>
      <c r="D15" s="2">
        <v>875</v>
      </c>
      <c r="E15" s="9" t="s">
        <v>14</v>
      </c>
      <c r="F15" s="9" t="s">
        <v>17</v>
      </c>
      <c r="G15" s="10">
        <f t="shared" si="3"/>
        <v>87.5</v>
      </c>
      <c r="H15" s="11">
        <f t="shared" si="1"/>
        <v>962.5</v>
      </c>
    </row>
    <row r="16" spans="1:14" x14ac:dyDescent="0.3">
      <c r="A16" s="8">
        <v>42981</v>
      </c>
      <c r="B16" s="9" t="s">
        <v>18</v>
      </c>
      <c r="C16" s="2" t="s">
        <v>19</v>
      </c>
      <c r="D16" s="2">
        <v>1280</v>
      </c>
      <c r="E16" s="9" t="s">
        <v>14</v>
      </c>
      <c r="F16" s="9" t="s">
        <v>20</v>
      </c>
      <c r="G16" s="10">
        <f t="shared" si="3"/>
        <v>128</v>
      </c>
      <c r="H16" s="11">
        <f t="shared" si="1"/>
        <v>1408</v>
      </c>
    </row>
    <row r="17" spans="1:8" x14ac:dyDescent="0.3">
      <c r="A17" s="8">
        <v>42984</v>
      </c>
      <c r="B17" s="9" t="s">
        <v>21</v>
      </c>
      <c r="C17" s="2" t="s">
        <v>13</v>
      </c>
      <c r="D17" s="2">
        <v>500</v>
      </c>
      <c r="E17" s="9" t="s">
        <v>14</v>
      </c>
      <c r="F17" s="9" t="s">
        <v>22</v>
      </c>
      <c r="G17" s="10">
        <f t="shared" si="3"/>
        <v>50</v>
      </c>
      <c r="H17" s="11">
        <f t="shared" si="1"/>
        <v>550</v>
      </c>
    </row>
    <row r="18" spans="1:8" x14ac:dyDescent="0.3">
      <c r="A18" s="8">
        <v>42984</v>
      </c>
      <c r="B18" s="9" t="s">
        <v>23</v>
      </c>
      <c r="C18" s="2" t="s">
        <v>23</v>
      </c>
      <c r="D18" s="2">
        <v>25000</v>
      </c>
      <c r="E18" s="9" t="s">
        <v>24</v>
      </c>
      <c r="F18" s="9" t="s">
        <v>22</v>
      </c>
      <c r="G18" s="10">
        <f t="shared" si="3"/>
        <v>2500</v>
      </c>
      <c r="H18" s="11">
        <f t="shared" si="1"/>
        <v>27500</v>
      </c>
    </row>
    <row r="19" spans="1:8" x14ac:dyDescent="0.3">
      <c r="A19" s="8">
        <v>42984</v>
      </c>
      <c r="B19" s="9" t="s">
        <v>25</v>
      </c>
      <c r="C19" s="2" t="s">
        <v>26</v>
      </c>
      <c r="D19" s="2">
        <v>7000</v>
      </c>
      <c r="E19" s="9" t="s">
        <v>24</v>
      </c>
      <c r="F19" s="9" t="s">
        <v>22</v>
      </c>
      <c r="G19" s="10">
        <f t="shared" si="3"/>
        <v>700</v>
      </c>
      <c r="H19" s="11">
        <f t="shared" si="1"/>
        <v>7700</v>
      </c>
    </row>
    <row r="20" spans="1:8" x14ac:dyDescent="0.3">
      <c r="A20" s="8">
        <v>42984</v>
      </c>
      <c r="B20" s="9" t="s">
        <v>27</v>
      </c>
      <c r="C20" s="2" t="s">
        <v>13</v>
      </c>
      <c r="D20" s="2">
        <v>580</v>
      </c>
      <c r="E20" s="9" t="s">
        <v>14</v>
      </c>
      <c r="F20" s="9" t="s">
        <v>15</v>
      </c>
      <c r="G20" s="10">
        <f t="shared" si="3"/>
        <v>58</v>
      </c>
      <c r="H20" s="11">
        <f t="shared" si="1"/>
        <v>638</v>
      </c>
    </row>
    <row r="21" spans="1:8" x14ac:dyDescent="0.3">
      <c r="A21" s="8">
        <v>42989</v>
      </c>
      <c r="B21" s="9" t="s">
        <v>28</v>
      </c>
      <c r="C21" s="2" t="s">
        <v>29</v>
      </c>
      <c r="D21" s="2">
        <v>1050</v>
      </c>
      <c r="E21" s="9" t="s">
        <v>14</v>
      </c>
      <c r="F21" s="9" t="s">
        <v>17</v>
      </c>
      <c r="G21" s="10">
        <f t="shared" si="3"/>
        <v>105</v>
      </c>
      <c r="H21" s="11">
        <f t="shared" si="1"/>
        <v>1155</v>
      </c>
    </row>
    <row r="22" spans="1:8" x14ac:dyDescent="0.3">
      <c r="A22" s="8">
        <v>42999</v>
      </c>
      <c r="B22" s="9" t="s">
        <v>30</v>
      </c>
      <c r="C22" s="2" t="s">
        <v>31</v>
      </c>
      <c r="D22" s="2">
        <v>400</v>
      </c>
      <c r="E22" s="9" t="s">
        <v>14</v>
      </c>
      <c r="F22" s="9" t="s">
        <v>15</v>
      </c>
      <c r="G22" s="10">
        <f t="shared" si="3"/>
        <v>40</v>
      </c>
      <c r="H22" s="11">
        <f t="shared" si="1"/>
        <v>440</v>
      </c>
    </row>
    <row r="23" spans="1:8" x14ac:dyDescent="0.3">
      <c r="A23" s="8">
        <v>42999</v>
      </c>
      <c r="B23" s="9" t="s">
        <v>32</v>
      </c>
      <c r="C23" s="2" t="s">
        <v>33</v>
      </c>
      <c r="D23" s="2">
        <v>500</v>
      </c>
      <c r="E23" s="9" t="s">
        <v>14</v>
      </c>
      <c r="F23" s="9" t="s">
        <v>17</v>
      </c>
      <c r="G23" s="10">
        <f t="shared" si="3"/>
        <v>50</v>
      </c>
      <c r="H23" s="11">
        <f t="shared" si="1"/>
        <v>550</v>
      </c>
    </row>
    <row r="24" spans="1:8" x14ac:dyDescent="0.3">
      <c r="A24" s="8">
        <v>42999</v>
      </c>
      <c r="B24" s="9" t="s">
        <v>34</v>
      </c>
      <c r="C24" s="2" t="s">
        <v>35</v>
      </c>
      <c r="D24" s="2">
        <v>450</v>
      </c>
      <c r="E24" s="9" t="s">
        <v>14</v>
      </c>
      <c r="F24" s="9" t="s">
        <v>17</v>
      </c>
      <c r="G24" s="10">
        <f t="shared" si="3"/>
        <v>45</v>
      </c>
      <c r="H24" s="11">
        <f t="shared" si="1"/>
        <v>495</v>
      </c>
    </row>
    <row r="25" spans="1:8" x14ac:dyDescent="0.3">
      <c r="A25" s="8">
        <v>43010</v>
      </c>
      <c r="B25" s="9" t="s">
        <v>12</v>
      </c>
      <c r="C25" s="2" t="s">
        <v>13</v>
      </c>
      <c r="D25" s="2">
        <v>430</v>
      </c>
      <c r="E25" s="9" t="s">
        <v>14</v>
      </c>
      <c r="F25" s="9" t="s">
        <v>15</v>
      </c>
      <c r="G25" s="10">
        <f t="shared" si="3"/>
        <v>43</v>
      </c>
      <c r="H25" s="11">
        <f t="shared" si="1"/>
        <v>473</v>
      </c>
    </row>
    <row r="26" spans="1:8" x14ac:dyDescent="0.3">
      <c r="A26" s="8">
        <v>43011</v>
      </c>
      <c r="B26" s="9" t="s">
        <v>16</v>
      </c>
      <c r="C26" s="2" t="s">
        <v>13</v>
      </c>
      <c r="D26" s="2">
        <v>875</v>
      </c>
      <c r="E26" s="9" t="s">
        <v>14</v>
      </c>
      <c r="F26" s="9" t="s">
        <v>17</v>
      </c>
      <c r="G26" s="10">
        <f t="shared" si="3"/>
        <v>87.5</v>
      </c>
      <c r="H26" s="11">
        <f t="shared" si="1"/>
        <v>962.5</v>
      </c>
    </row>
    <row r="27" spans="1:8" x14ac:dyDescent="0.3">
      <c r="A27" s="8">
        <v>43011</v>
      </c>
      <c r="B27" s="9" t="s">
        <v>18</v>
      </c>
      <c r="C27" s="2" t="s">
        <v>19</v>
      </c>
      <c r="D27" s="2">
        <v>1280</v>
      </c>
      <c r="E27" s="9" t="s">
        <v>14</v>
      </c>
      <c r="F27" s="9" t="s">
        <v>20</v>
      </c>
      <c r="G27" s="10">
        <f t="shared" si="3"/>
        <v>128</v>
      </c>
      <c r="H27" s="11">
        <f t="shared" si="1"/>
        <v>1408</v>
      </c>
    </row>
    <row r="28" spans="1:8" x14ac:dyDescent="0.3">
      <c r="A28" s="8">
        <v>43014</v>
      </c>
      <c r="B28" s="9" t="s">
        <v>21</v>
      </c>
      <c r="C28" s="2" t="s">
        <v>13</v>
      </c>
      <c r="D28" s="2">
        <v>500</v>
      </c>
      <c r="E28" s="9" t="s">
        <v>14</v>
      </c>
      <c r="F28" s="9" t="s">
        <v>22</v>
      </c>
      <c r="G28" s="10">
        <f t="shared" si="3"/>
        <v>50</v>
      </c>
      <c r="H28" s="11">
        <f t="shared" si="1"/>
        <v>550</v>
      </c>
    </row>
    <row r="29" spans="1:8" x14ac:dyDescent="0.3">
      <c r="A29" s="8">
        <v>43014</v>
      </c>
      <c r="B29" s="9" t="s">
        <v>23</v>
      </c>
      <c r="C29" s="2" t="s">
        <v>23</v>
      </c>
      <c r="D29" s="2">
        <v>25000</v>
      </c>
      <c r="E29" s="9" t="s">
        <v>24</v>
      </c>
      <c r="F29" s="9" t="s">
        <v>22</v>
      </c>
      <c r="G29" s="10">
        <f t="shared" si="3"/>
        <v>2500</v>
      </c>
      <c r="H29" s="11">
        <f t="shared" si="1"/>
        <v>27500</v>
      </c>
    </row>
    <row r="30" spans="1:8" x14ac:dyDescent="0.3">
      <c r="A30" s="8">
        <v>43014</v>
      </c>
      <c r="B30" s="9" t="s">
        <v>25</v>
      </c>
      <c r="C30" s="2" t="s">
        <v>26</v>
      </c>
      <c r="D30" s="2">
        <v>7000</v>
      </c>
      <c r="E30" s="9" t="s">
        <v>24</v>
      </c>
      <c r="F30" s="9" t="s">
        <v>22</v>
      </c>
      <c r="G30" s="10">
        <f t="shared" si="3"/>
        <v>700</v>
      </c>
      <c r="H30" s="11">
        <f t="shared" si="1"/>
        <v>7700</v>
      </c>
    </row>
    <row r="31" spans="1:8" x14ac:dyDescent="0.3">
      <c r="A31" s="8">
        <v>43014</v>
      </c>
      <c r="B31" s="9" t="s">
        <v>27</v>
      </c>
      <c r="C31" s="2" t="s">
        <v>13</v>
      </c>
      <c r="D31" s="2">
        <v>580</v>
      </c>
      <c r="E31" s="9" t="s">
        <v>14</v>
      </c>
      <c r="F31" s="9" t="s">
        <v>15</v>
      </c>
      <c r="G31" s="10">
        <f t="shared" si="3"/>
        <v>58</v>
      </c>
      <c r="H31" s="11">
        <f t="shared" si="1"/>
        <v>638</v>
      </c>
    </row>
    <row r="32" spans="1:8" x14ac:dyDescent="0.3">
      <c r="A32" s="8">
        <v>43019</v>
      </c>
      <c r="B32" s="9" t="s">
        <v>28</v>
      </c>
      <c r="C32" s="2" t="s">
        <v>29</v>
      </c>
      <c r="D32" s="2">
        <v>1050</v>
      </c>
      <c r="E32" s="9" t="s">
        <v>14</v>
      </c>
      <c r="F32" s="9" t="s">
        <v>17</v>
      </c>
      <c r="G32" s="10">
        <f t="shared" si="3"/>
        <v>105</v>
      </c>
      <c r="H32" s="11">
        <f t="shared" si="1"/>
        <v>1155</v>
      </c>
    </row>
    <row r="33" spans="1:8" x14ac:dyDescent="0.3">
      <c r="A33" s="8">
        <v>43029</v>
      </c>
      <c r="B33" s="9" t="s">
        <v>30</v>
      </c>
      <c r="C33" s="2" t="s">
        <v>31</v>
      </c>
      <c r="D33" s="2">
        <v>400</v>
      </c>
      <c r="E33" s="9" t="s">
        <v>14</v>
      </c>
      <c r="F33" s="9" t="s">
        <v>15</v>
      </c>
      <c r="G33" s="10">
        <f t="shared" si="3"/>
        <v>40</v>
      </c>
      <c r="H33" s="11">
        <f t="shared" si="1"/>
        <v>440</v>
      </c>
    </row>
    <row r="34" spans="1:8" x14ac:dyDescent="0.3">
      <c r="A34" s="8">
        <v>43029</v>
      </c>
      <c r="B34" s="9" t="s">
        <v>32</v>
      </c>
      <c r="C34" s="2" t="s">
        <v>33</v>
      </c>
      <c r="D34" s="2">
        <v>500</v>
      </c>
      <c r="E34" s="9" t="s">
        <v>14</v>
      </c>
      <c r="F34" s="9" t="s">
        <v>17</v>
      </c>
      <c r="G34" s="10">
        <f t="shared" si="3"/>
        <v>50</v>
      </c>
      <c r="H34" s="11">
        <f t="shared" si="1"/>
        <v>550</v>
      </c>
    </row>
    <row r="35" spans="1:8" x14ac:dyDescent="0.3">
      <c r="A35" s="8">
        <v>43029</v>
      </c>
      <c r="B35" s="9" t="s">
        <v>34</v>
      </c>
      <c r="C35" s="2" t="s">
        <v>35</v>
      </c>
      <c r="D35" s="2">
        <v>450</v>
      </c>
      <c r="E35" s="9" t="s">
        <v>14</v>
      </c>
      <c r="F35" s="9" t="s">
        <v>17</v>
      </c>
      <c r="G35" s="10">
        <f t="shared" si="3"/>
        <v>45</v>
      </c>
      <c r="H35" s="11">
        <f t="shared" si="1"/>
        <v>495</v>
      </c>
    </row>
    <row r="36" spans="1:8" x14ac:dyDescent="0.3">
      <c r="A36" s="8">
        <v>43041</v>
      </c>
      <c r="B36" s="9" t="s">
        <v>12</v>
      </c>
      <c r="C36" s="2" t="s">
        <v>13</v>
      </c>
      <c r="D36" s="2">
        <v>430</v>
      </c>
      <c r="E36" s="9" t="s">
        <v>14</v>
      </c>
      <c r="F36" s="9" t="s">
        <v>15</v>
      </c>
      <c r="G36" s="10">
        <f t="shared" si="3"/>
        <v>43</v>
      </c>
      <c r="H36" s="11">
        <f t="shared" si="1"/>
        <v>473</v>
      </c>
    </row>
    <row r="37" spans="1:8" x14ac:dyDescent="0.3">
      <c r="A37" s="8">
        <v>43042</v>
      </c>
      <c r="B37" s="9" t="s">
        <v>16</v>
      </c>
      <c r="C37" s="2" t="s">
        <v>13</v>
      </c>
      <c r="D37" s="2">
        <v>875</v>
      </c>
      <c r="E37" s="9" t="s">
        <v>14</v>
      </c>
      <c r="F37" s="9" t="s">
        <v>17</v>
      </c>
      <c r="G37" s="10">
        <f t="shared" si="3"/>
        <v>87.5</v>
      </c>
      <c r="H37" s="11">
        <f t="shared" si="1"/>
        <v>962.5</v>
      </c>
    </row>
    <row r="38" spans="1:8" x14ac:dyDescent="0.3">
      <c r="A38" s="8">
        <v>43042</v>
      </c>
      <c r="B38" s="9" t="s">
        <v>18</v>
      </c>
      <c r="C38" s="2" t="s">
        <v>19</v>
      </c>
      <c r="D38" s="2">
        <v>1280</v>
      </c>
      <c r="E38" s="9" t="s">
        <v>14</v>
      </c>
      <c r="F38" s="9" t="s">
        <v>20</v>
      </c>
      <c r="G38" s="10">
        <f t="shared" si="3"/>
        <v>128</v>
      </c>
      <c r="H38" s="11">
        <f t="shared" si="1"/>
        <v>1408</v>
      </c>
    </row>
    <row r="39" spans="1:8" x14ac:dyDescent="0.3">
      <c r="A39" s="8">
        <v>43045</v>
      </c>
      <c r="B39" s="9" t="s">
        <v>21</v>
      </c>
      <c r="C39" s="2" t="s">
        <v>13</v>
      </c>
      <c r="D39" s="2">
        <v>500</v>
      </c>
      <c r="E39" s="9" t="s">
        <v>14</v>
      </c>
      <c r="F39" s="9" t="s">
        <v>22</v>
      </c>
      <c r="G39" s="10">
        <f t="shared" si="3"/>
        <v>50</v>
      </c>
      <c r="H39" s="11">
        <f t="shared" si="1"/>
        <v>550</v>
      </c>
    </row>
    <row r="40" spans="1:8" x14ac:dyDescent="0.3">
      <c r="A40" s="8">
        <v>43045</v>
      </c>
      <c r="B40" s="9" t="s">
        <v>23</v>
      </c>
      <c r="C40" s="2" t="s">
        <v>23</v>
      </c>
      <c r="D40" s="2">
        <v>25000</v>
      </c>
      <c r="E40" s="9" t="s">
        <v>24</v>
      </c>
      <c r="F40" s="9" t="s">
        <v>22</v>
      </c>
      <c r="G40" s="10">
        <f t="shared" si="3"/>
        <v>2500</v>
      </c>
      <c r="H40" s="11">
        <f t="shared" si="1"/>
        <v>27500</v>
      </c>
    </row>
    <row r="41" spans="1:8" x14ac:dyDescent="0.3">
      <c r="A41" s="8">
        <v>43045</v>
      </c>
      <c r="B41" s="9" t="s">
        <v>25</v>
      </c>
      <c r="C41" s="2" t="s">
        <v>26</v>
      </c>
      <c r="D41" s="2">
        <v>7000</v>
      </c>
      <c r="E41" s="9" t="s">
        <v>24</v>
      </c>
      <c r="F41" s="9" t="s">
        <v>22</v>
      </c>
      <c r="G41" s="10">
        <f t="shared" si="3"/>
        <v>700</v>
      </c>
      <c r="H41" s="11">
        <f t="shared" si="1"/>
        <v>7700</v>
      </c>
    </row>
    <row r="42" spans="1:8" x14ac:dyDescent="0.3">
      <c r="A42" s="8">
        <v>43045</v>
      </c>
      <c r="B42" s="9" t="s">
        <v>27</v>
      </c>
      <c r="C42" s="2" t="s">
        <v>13</v>
      </c>
      <c r="D42" s="2">
        <v>580</v>
      </c>
      <c r="E42" s="9" t="s">
        <v>14</v>
      </c>
      <c r="F42" s="9" t="s">
        <v>15</v>
      </c>
      <c r="G42" s="10">
        <f t="shared" si="3"/>
        <v>58</v>
      </c>
      <c r="H42" s="11">
        <f t="shared" si="1"/>
        <v>638</v>
      </c>
    </row>
    <row r="43" spans="1:8" x14ac:dyDescent="0.3">
      <c r="A43" s="8">
        <v>43050</v>
      </c>
      <c r="B43" s="9" t="s">
        <v>28</v>
      </c>
      <c r="C43" s="2" t="s">
        <v>29</v>
      </c>
      <c r="D43" s="2">
        <v>1050</v>
      </c>
      <c r="E43" s="9" t="s">
        <v>14</v>
      </c>
      <c r="F43" s="9" t="s">
        <v>17</v>
      </c>
      <c r="G43" s="10">
        <f t="shared" si="3"/>
        <v>105</v>
      </c>
      <c r="H43" s="11">
        <f t="shared" si="1"/>
        <v>1155</v>
      </c>
    </row>
    <row r="44" spans="1:8" x14ac:dyDescent="0.3">
      <c r="A44" s="8">
        <v>43060</v>
      </c>
      <c r="B44" s="9" t="s">
        <v>30</v>
      </c>
      <c r="C44" s="2" t="s">
        <v>31</v>
      </c>
      <c r="D44" s="2">
        <v>400</v>
      </c>
      <c r="E44" s="9" t="s">
        <v>14</v>
      </c>
      <c r="F44" s="9" t="s">
        <v>15</v>
      </c>
      <c r="G44" s="10">
        <f t="shared" si="3"/>
        <v>40</v>
      </c>
      <c r="H44" s="11">
        <f t="shared" si="1"/>
        <v>440</v>
      </c>
    </row>
    <row r="45" spans="1:8" x14ac:dyDescent="0.3">
      <c r="A45" s="8">
        <v>43060</v>
      </c>
      <c r="B45" s="9" t="s">
        <v>32</v>
      </c>
      <c r="C45" s="2" t="s">
        <v>33</v>
      </c>
      <c r="D45" s="2">
        <v>500</v>
      </c>
      <c r="E45" s="9" t="s">
        <v>14</v>
      </c>
      <c r="F45" s="9" t="s">
        <v>17</v>
      </c>
      <c r="G45" s="10">
        <f t="shared" si="3"/>
        <v>50</v>
      </c>
      <c r="H45" s="11">
        <f t="shared" si="1"/>
        <v>550</v>
      </c>
    </row>
    <row r="46" spans="1:8" x14ac:dyDescent="0.3">
      <c r="A46" s="8">
        <v>43060</v>
      </c>
      <c r="B46" s="9" t="s">
        <v>34</v>
      </c>
      <c r="C46" s="2" t="s">
        <v>35</v>
      </c>
      <c r="D46" s="2">
        <v>450</v>
      </c>
      <c r="E46" s="9" t="s">
        <v>14</v>
      </c>
      <c r="F46" s="9" t="s">
        <v>17</v>
      </c>
      <c r="G46" s="10">
        <f t="shared" si="3"/>
        <v>45</v>
      </c>
      <c r="H46" s="11">
        <f t="shared" si="1"/>
        <v>495</v>
      </c>
    </row>
    <row r="47" spans="1:8" x14ac:dyDescent="0.3">
      <c r="A47" s="8">
        <v>43071</v>
      </c>
      <c r="B47" s="9" t="s">
        <v>12</v>
      </c>
      <c r="C47" s="2" t="s">
        <v>13</v>
      </c>
      <c r="D47" s="2">
        <v>430</v>
      </c>
      <c r="E47" s="9" t="s">
        <v>14</v>
      </c>
      <c r="F47" s="9" t="s">
        <v>15</v>
      </c>
      <c r="G47" s="10">
        <f t="shared" si="3"/>
        <v>43</v>
      </c>
      <c r="H47" s="11">
        <f t="shared" si="1"/>
        <v>473</v>
      </c>
    </row>
    <row r="48" spans="1:8" x14ac:dyDescent="0.3">
      <c r="A48" s="8">
        <v>43072</v>
      </c>
      <c r="B48" s="9" t="s">
        <v>16</v>
      </c>
      <c r="C48" s="2" t="s">
        <v>13</v>
      </c>
      <c r="D48" s="2">
        <v>875</v>
      </c>
      <c r="E48" s="9" t="s">
        <v>14</v>
      </c>
      <c r="F48" s="9" t="s">
        <v>17</v>
      </c>
      <c r="G48" s="10">
        <f t="shared" si="3"/>
        <v>87.5</v>
      </c>
      <c r="H48" s="11">
        <f t="shared" si="1"/>
        <v>962.5</v>
      </c>
    </row>
    <row r="49" spans="1:8" x14ac:dyDescent="0.3">
      <c r="A49" s="8">
        <v>43072</v>
      </c>
      <c r="B49" s="9" t="s">
        <v>18</v>
      </c>
      <c r="C49" s="2" t="s">
        <v>19</v>
      </c>
      <c r="D49" s="2">
        <v>1280</v>
      </c>
      <c r="E49" s="9" t="s">
        <v>14</v>
      </c>
      <c r="F49" s="9" t="s">
        <v>20</v>
      </c>
      <c r="G49" s="10">
        <f t="shared" si="3"/>
        <v>128</v>
      </c>
      <c r="H49" s="11">
        <f t="shared" si="1"/>
        <v>1408</v>
      </c>
    </row>
    <row r="50" spans="1:8" x14ac:dyDescent="0.3">
      <c r="A50" s="8">
        <v>43075</v>
      </c>
      <c r="B50" s="9" t="s">
        <v>21</v>
      </c>
      <c r="C50" s="2" t="s">
        <v>13</v>
      </c>
      <c r="D50" s="2">
        <v>500</v>
      </c>
      <c r="E50" s="9" t="s">
        <v>14</v>
      </c>
      <c r="F50" s="9" t="s">
        <v>22</v>
      </c>
      <c r="G50" s="10">
        <f t="shared" si="3"/>
        <v>50</v>
      </c>
      <c r="H50" s="11">
        <f t="shared" si="1"/>
        <v>550</v>
      </c>
    </row>
    <row r="51" spans="1:8" x14ac:dyDescent="0.3">
      <c r="A51" s="8">
        <v>43075</v>
      </c>
      <c r="B51" s="9" t="s">
        <v>23</v>
      </c>
      <c r="C51" s="2" t="s">
        <v>23</v>
      </c>
      <c r="D51" s="2">
        <v>25000</v>
      </c>
      <c r="E51" s="9" t="s">
        <v>24</v>
      </c>
      <c r="F51" s="9" t="s">
        <v>22</v>
      </c>
      <c r="G51" s="10">
        <f t="shared" si="3"/>
        <v>2500</v>
      </c>
      <c r="H51" s="11">
        <f t="shared" si="1"/>
        <v>27500</v>
      </c>
    </row>
    <row r="52" spans="1:8" x14ac:dyDescent="0.3">
      <c r="A52" s="8">
        <v>43075</v>
      </c>
      <c r="B52" s="9" t="s">
        <v>25</v>
      </c>
      <c r="C52" s="2" t="s">
        <v>26</v>
      </c>
      <c r="D52" s="2">
        <v>7000</v>
      </c>
      <c r="E52" s="9" t="s">
        <v>24</v>
      </c>
      <c r="F52" s="9" t="s">
        <v>22</v>
      </c>
      <c r="G52" s="10">
        <f t="shared" si="3"/>
        <v>700</v>
      </c>
      <c r="H52" s="11">
        <f t="shared" si="1"/>
        <v>7700</v>
      </c>
    </row>
    <row r="53" spans="1:8" x14ac:dyDescent="0.3">
      <c r="A53" s="8">
        <v>43075</v>
      </c>
      <c r="B53" s="9" t="s">
        <v>27</v>
      </c>
      <c r="C53" s="2" t="s">
        <v>13</v>
      </c>
      <c r="D53" s="2">
        <v>580</v>
      </c>
      <c r="E53" s="9" t="s">
        <v>14</v>
      </c>
      <c r="F53" s="9" t="s">
        <v>15</v>
      </c>
      <c r="G53" s="10">
        <f t="shared" si="3"/>
        <v>58</v>
      </c>
      <c r="H53" s="11">
        <f t="shared" si="1"/>
        <v>638</v>
      </c>
    </row>
    <row r="54" spans="1:8" x14ac:dyDescent="0.3">
      <c r="A54" s="8">
        <v>43081</v>
      </c>
      <c r="B54" s="9" t="s">
        <v>28</v>
      </c>
      <c r="C54" s="2" t="s">
        <v>29</v>
      </c>
      <c r="D54" s="2">
        <v>1050</v>
      </c>
      <c r="E54" s="9" t="s">
        <v>14</v>
      </c>
      <c r="F54" s="9" t="s">
        <v>17</v>
      </c>
      <c r="G54" s="10">
        <f t="shared" si="3"/>
        <v>105</v>
      </c>
      <c r="H54" s="11">
        <f t="shared" si="1"/>
        <v>1155</v>
      </c>
    </row>
    <row r="55" spans="1:8" x14ac:dyDescent="0.3">
      <c r="A55" s="8">
        <v>43090</v>
      </c>
      <c r="B55" s="9" t="s">
        <v>30</v>
      </c>
      <c r="C55" s="2" t="s">
        <v>31</v>
      </c>
      <c r="D55" s="2">
        <v>400</v>
      </c>
      <c r="E55" s="9" t="s">
        <v>14</v>
      </c>
      <c r="F55" s="9" t="s">
        <v>15</v>
      </c>
      <c r="G55" s="10">
        <f t="shared" si="3"/>
        <v>40</v>
      </c>
      <c r="H55" s="11">
        <f t="shared" si="1"/>
        <v>440</v>
      </c>
    </row>
    <row r="56" spans="1:8" x14ac:dyDescent="0.3">
      <c r="A56" s="8">
        <v>43090</v>
      </c>
      <c r="B56" s="9" t="s">
        <v>32</v>
      </c>
      <c r="C56" s="2" t="s">
        <v>33</v>
      </c>
      <c r="D56" s="2">
        <v>500</v>
      </c>
      <c r="E56" s="9" t="s">
        <v>14</v>
      </c>
      <c r="F56" s="9" t="s">
        <v>17</v>
      </c>
      <c r="G56" s="10">
        <f t="shared" si="3"/>
        <v>50</v>
      </c>
      <c r="H56" s="11">
        <f t="shared" si="1"/>
        <v>550</v>
      </c>
    </row>
    <row r="57" spans="1:8" x14ac:dyDescent="0.3">
      <c r="A57" s="8">
        <v>43090</v>
      </c>
      <c r="B57" s="9" t="s">
        <v>34</v>
      </c>
      <c r="C57" s="2" t="s">
        <v>35</v>
      </c>
      <c r="D57" s="2">
        <v>450</v>
      </c>
      <c r="E57" s="9" t="s">
        <v>14</v>
      </c>
      <c r="F57" s="9" t="s">
        <v>17</v>
      </c>
      <c r="G57" s="10">
        <f t="shared" si="3"/>
        <v>45</v>
      </c>
      <c r="H57" s="11">
        <f t="shared" si="1"/>
        <v>495</v>
      </c>
    </row>
    <row r="58" spans="1:8" x14ac:dyDescent="0.3">
      <c r="A58" s="8">
        <v>43102</v>
      </c>
      <c r="B58" s="9" t="s">
        <v>12</v>
      </c>
      <c r="C58" s="2" t="s">
        <v>13</v>
      </c>
      <c r="D58" s="2">
        <v>430</v>
      </c>
      <c r="E58" s="9" t="s">
        <v>14</v>
      </c>
      <c r="F58" s="9" t="s">
        <v>15</v>
      </c>
      <c r="G58" s="10">
        <f t="shared" si="3"/>
        <v>43</v>
      </c>
      <c r="H58" s="11">
        <f t="shared" si="1"/>
        <v>473</v>
      </c>
    </row>
    <row r="59" spans="1:8" x14ac:dyDescent="0.3">
      <c r="A59" s="8">
        <v>43103</v>
      </c>
      <c r="B59" s="9" t="s">
        <v>16</v>
      </c>
      <c r="C59" s="2" t="s">
        <v>13</v>
      </c>
      <c r="D59" s="2">
        <v>875</v>
      </c>
      <c r="E59" s="9" t="s">
        <v>14</v>
      </c>
      <c r="F59" s="9" t="s">
        <v>17</v>
      </c>
      <c r="G59" s="10">
        <f t="shared" si="3"/>
        <v>87.5</v>
      </c>
      <c r="H59" s="11">
        <f t="shared" si="1"/>
        <v>962.5</v>
      </c>
    </row>
    <row r="60" spans="1:8" x14ac:dyDescent="0.3">
      <c r="A60" s="8">
        <v>43103</v>
      </c>
      <c r="B60" s="9" t="s">
        <v>18</v>
      </c>
      <c r="C60" s="2" t="s">
        <v>19</v>
      </c>
      <c r="D60" s="2">
        <v>1280</v>
      </c>
      <c r="E60" s="9" t="s">
        <v>14</v>
      </c>
      <c r="F60" s="9" t="s">
        <v>20</v>
      </c>
      <c r="G60" s="10">
        <f t="shared" si="3"/>
        <v>128</v>
      </c>
      <c r="H60" s="11">
        <f t="shared" si="1"/>
        <v>1408</v>
      </c>
    </row>
    <row r="61" spans="1:8" x14ac:dyDescent="0.3">
      <c r="A61" s="8">
        <v>43106</v>
      </c>
      <c r="B61" s="9" t="s">
        <v>21</v>
      </c>
      <c r="C61" s="2" t="s">
        <v>13</v>
      </c>
      <c r="D61" s="2">
        <v>500</v>
      </c>
      <c r="E61" s="9" t="s">
        <v>14</v>
      </c>
      <c r="F61" s="9" t="s">
        <v>22</v>
      </c>
      <c r="G61" s="10">
        <f t="shared" si="3"/>
        <v>50</v>
      </c>
      <c r="H61" s="11">
        <f t="shared" si="1"/>
        <v>550</v>
      </c>
    </row>
    <row r="62" spans="1:8" x14ac:dyDescent="0.3">
      <c r="A62" s="8">
        <v>43106</v>
      </c>
      <c r="B62" s="9" t="s">
        <v>23</v>
      </c>
      <c r="C62" s="2" t="s">
        <v>23</v>
      </c>
      <c r="D62" s="2">
        <v>25000</v>
      </c>
      <c r="E62" s="9" t="s">
        <v>24</v>
      </c>
      <c r="F62" s="9" t="s">
        <v>22</v>
      </c>
      <c r="G62" s="10">
        <f t="shared" si="3"/>
        <v>2500</v>
      </c>
      <c r="H62" s="11">
        <f t="shared" si="1"/>
        <v>27500</v>
      </c>
    </row>
    <row r="63" spans="1:8" x14ac:dyDescent="0.3">
      <c r="A63" s="8">
        <v>43106</v>
      </c>
      <c r="B63" s="9" t="s">
        <v>25</v>
      </c>
      <c r="C63" s="2" t="s">
        <v>26</v>
      </c>
      <c r="D63" s="2">
        <v>7000</v>
      </c>
      <c r="E63" s="9" t="s">
        <v>24</v>
      </c>
      <c r="F63" s="9" t="s">
        <v>22</v>
      </c>
      <c r="G63" s="10">
        <f t="shared" si="3"/>
        <v>700</v>
      </c>
      <c r="H63" s="11">
        <f t="shared" si="1"/>
        <v>7700</v>
      </c>
    </row>
    <row r="64" spans="1:8" x14ac:dyDescent="0.3">
      <c r="A64" s="8">
        <v>43106</v>
      </c>
      <c r="B64" s="9" t="s">
        <v>27</v>
      </c>
      <c r="C64" s="2" t="s">
        <v>13</v>
      </c>
      <c r="D64" s="2">
        <v>580</v>
      </c>
      <c r="E64" s="9" t="s">
        <v>14</v>
      </c>
      <c r="F64" s="9" t="s">
        <v>15</v>
      </c>
      <c r="G64" s="10">
        <f t="shared" si="3"/>
        <v>58</v>
      </c>
      <c r="H64" s="11">
        <f t="shared" si="1"/>
        <v>638</v>
      </c>
    </row>
    <row r="65" spans="1:8" x14ac:dyDescent="0.3">
      <c r="A65" s="8">
        <v>43101</v>
      </c>
      <c r="B65" s="9" t="s">
        <v>28</v>
      </c>
      <c r="C65" s="2" t="s">
        <v>29</v>
      </c>
      <c r="D65" s="2">
        <v>1050</v>
      </c>
      <c r="E65" s="9" t="s">
        <v>14</v>
      </c>
      <c r="F65" s="9" t="s">
        <v>17</v>
      </c>
      <c r="G65" s="10">
        <f t="shared" si="3"/>
        <v>105</v>
      </c>
      <c r="H65" s="11">
        <f t="shared" si="1"/>
        <v>1155</v>
      </c>
    </row>
    <row r="66" spans="1:8" x14ac:dyDescent="0.3">
      <c r="A66" s="8">
        <v>43121</v>
      </c>
      <c r="B66" s="9" t="s">
        <v>30</v>
      </c>
      <c r="C66" s="2" t="s">
        <v>31</v>
      </c>
      <c r="D66" s="2">
        <v>400</v>
      </c>
      <c r="E66" s="9" t="s">
        <v>14</v>
      </c>
      <c r="F66" s="9" t="s">
        <v>15</v>
      </c>
      <c r="G66" s="10">
        <f t="shared" si="3"/>
        <v>40</v>
      </c>
      <c r="H66" s="11">
        <f t="shared" si="1"/>
        <v>440</v>
      </c>
    </row>
    <row r="67" spans="1:8" x14ac:dyDescent="0.3">
      <c r="A67" s="8">
        <v>43121</v>
      </c>
      <c r="B67" s="9" t="s">
        <v>32</v>
      </c>
      <c r="C67" s="2" t="s">
        <v>33</v>
      </c>
      <c r="D67" s="2">
        <v>500</v>
      </c>
      <c r="E67" s="9" t="s">
        <v>14</v>
      </c>
      <c r="F67" s="9" t="s">
        <v>17</v>
      </c>
      <c r="G67" s="10">
        <f t="shared" si="3"/>
        <v>50</v>
      </c>
      <c r="H67" s="11">
        <f t="shared" si="1"/>
        <v>550</v>
      </c>
    </row>
    <row r="68" spans="1:8" x14ac:dyDescent="0.3">
      <c r="A68" s="8">
        <v>43121</v>
      </c>
      <c r="B68" s="9" t="s">
        <v>34</v>
      </c>
      <c r="C68" s="2" t="s">
        <v>35</v>
      </c>
      <c r="D68" s="2">
        <v>450</v>
      </c>
      <c r="E68" s="9" t="s">
        <v>14</v>
      </c>
      <c r="F68" s="9" t="s">
        <v>17</v>
      </c>
      <c r="G68" s="10">
        <f t="shared" si="3"/>
        <v>45</v>
      </c>
      <c r="H68" s="11">
        <f t="shared" ref="H68:H112" si="4">SUM(D68+G68)</f>
        <v>495</v>
      </c>
    </row>
    <row r="69" spans="1:8" x14ac:dyDescent="0.3">
      <c r="A69" s="8">
        <v>43133</v>
      </c>
      <c r="B69" s="9" t="s">
        <v>12</v>
      </c>
      <c r="C69" s="2" t="s">
        <v>13</v>
      </c>
      <c r="D69" s="2">
        <v>430</v>
      </c>
      <c r="E69" s="9" t="s">
        <v>14</v>
      </c>
      <c r="F69" s="9" t="s">
        <v>15</v>
      </c>
      <c r="G69" s="10">
        <f t="shared" ref="G69:G112" si="5">D69*$G$2</f>
        <v>43</v>
      </c>
      <c r="H69" s="11">
        <f t="shared" si="4"/>
        <v>473</v>
      </c>
    </row>
    <row r="70" spans="1:8" x14ac:dyDescent="0.3">
      <c r="A70" s="8">
        <v>43134</v>
      </c>
      <c r="B70" s="9" t="s">
        <v>16</v>
      </c>
      <c r="C70" s="2" t="s">
        <v>13</v>
      </c>
      <c r="D70" s="2">
        <v>875</v>
      </c>
      <c r="E70" s="9" t="s">
        <v>14</v>
      </c>
      <c r="F70" s="9" t="s">
        <v>17</v>
      </c>
      <c r="G70" s="10">
        <f t="shared" si="5"/>
        <v>87.5</v>
      </c>
      <c r="H70" s="11">
        <f t="shared" si="4"/>
        <v>962.5</v>
      </c>
    </row>
    <row r="71" spans="1:8" x14ac:dyDescent="0.3">
      <c r="A71" s="8">
        <v>43134</v>
      </c>
      <c r="B71" s="9" t="s">
        <v>18</v>
      </c>
      <c r="C71" s="2" t="s">
        <v>19</v>
      </c>
      <c r="D71" s="2">
        <v>1280</v>
      </c>
      <c r="E71" s="9" t="s">
        <v>14</v>
      </c>
      <c r="F71" s="9" t="s">
        <v>20</v>
      </c>
      <c r="G71" s="10">
        <f t="shared" si="5"/>
        <v>128</v>
      </c>
      <c r="H71" s="11">
        <f t="shared" si="4"/>
        <v>1408</v>
      </c>
    </row>
    <row r="72" spans="1:8" x14ac:dyDescent="0.3">
      <c r="A72" s="8">
        <v>43137</v>
      </c>
      <c r="B72" s="9" t="s">
        <v>21</v>
      </c>
      <c r="C72" s="2" t="s">
        <v>13</v>
      </c>
      <c r="D72" s="2">
        <v>500</v>
      </c>
      <c r="E72" s="9" t="s">
        <v>14</v>
      </c>
      <c r="F72" s="9" t="s">
        <v>22</v>
      </c>
      <c r="G72" s="10">
        <f t="shared" si="5"/>
        <v>50</v>
      </c>
      <c r="H72" s="11">
        <f t="shared" si="4"/>
        <v>550</v>
      </c>
    </row>
    <row r="73" spans="1:8" x14ac:dyDescent="0.3">
      <c r="A73" s="8">
        <v>43137</v>
      </c>
      <c r="B73" s="9" t="s">
        <v>23</v>
      </c>
      <c r="C73" s="2" t="s">
        <v>23</v>
      </c>
      <c r="D73" s="2">
        <v>25000</v>
      </c>
      <c r="E73" s="9" t="s">
        <v>24</v>
      </c>
      <c r="F73" s="9" t="s">
        <v>22</v>
      </c>
      <c r="G73" s="10">
        <f t="shared" si="5"/>
        <v>2500</v>
      </c>
      <c r="H73" s="11">
        <f t="shared" si="4"/>
        <v>27500</v>
      </c>
    </row>
    <row r="74" spans="1:8" x14ac:dyDescent="0.3">
      <c r="A74" s="8">
        <v>43137</v>
      </c>
      <c r="B74" s="9" t="s">
        <v>25</v>
      </c>
      <c r="C74" s="2" t="s">
        <v>26</v>
      </c>
      <c r="D74" s="2">
        <v>7000</v>
      </c>
      <c r="E74" s="9" t="s">
        <v>24</v>
      </c>
      <c r="F74" s="9" t="s">
        <v>22</v>
      </c>
      <c r="G74" s="10">
        <f t="shared" si="5"/>
        <v>700</v>
      </c>
      <c r="H74" s="11">
        <f t="shared" si="4"/>
        <v>7700</v>
      </c>
    </row>
    <row r="75" spans="1:8" x14ac:dyDescent="0.3">
      <c r="A75" s="8">
        <v>43137</v>
      </c>
      <c r="B75" s="9" t="s">
        <v>27</v>
      </c>
      <c r="C75" s="2" t="s">
        <v>13</v>
      </c>
      <c r="D75" s="2">
        <v>580</v>
      </c>
      <c r="E75" s="9" t="s">
        <v>14</v>
      </c>
      <c r="F75" s="9" t="s">
        <v>15</v>
      </c>
      <c r="G75" s="10">
        <f t="shared" si="5"/>
        <v>58</v>
      </c>
      <c r="H75" s="11">
        <f t="shared" si="4"/>
        <v>638</v>
      </c>
    </row>
    <row r="76" spans="1:8" x14ac:dyDescent="0.3">
      <c r="A76" s="8">
        <v>43133</v>
      </c>
      <c r="B76" s="9" t="s">
        <v>28</v>
      </c>
      <c r="C76" s="2" t="s">
        <v>29</v>
      </c>
      <c r="D76" s="2">
        <v>1050</v>
      </c>
      <c r="E76" s="9" t="s">
        <v>14</v>
      </c>
      <c r="F76" s="9" t="s">
        <v>17</v>
      </c>
      <c r="G76" s="10">
        <f t="shared" si="5"/>
        <v>105</v>
      </c>
      <c r="H76" s="11">
        <f t="shared" si="4"/>
        <v>1155</v>
      </c>
    </row>
    <row r="77" spans="1:8" x14ac:dyDescent="0.3">
      <c r="A77" s="8">
        <v>43152</v>
      </c>
      <c r="B77" s="9" t="s">
        <v>30</v>
      </c>
      <c r="C77" s="2" t="s">
        <v>31</v>
      </c>
      <c r="D77" s="2">
        <v>400</v>
      </c>
      <c r="E77" s="9" t="s">
        <v>14</v>
      </c>
      <c r="F77" s="9" t="s">
        <v>15</v>
      </c>
      <c r="G77" s="10">
        <f t="shared" si="5"/>
        <v>40</v>
      </c>
      <c r="H77" s="11">
        <f t="shared" si="4"/>
        <v>440</v>
      </c>
    </row>
    <row r="78" spans="1:8" x14ac:dyDescent="0.3">
      <c r="A78" s="8">
        <v>43152</v>
      </c>
      <c r="B78" s="9" t="s">
        <v>32</v>
      </c>
      <c r="C78" s="2" t="s">
        <v>33</v>
      </c>
      <c r="D78" s="2">
        <v>500</v>
      </c>
      <c r="E78" s="9" t="s">
        <v>14</v>
      </c>
      <c r="F78" s="9" t="s">
        <v>17</v>
      </c>
      <c r="G78" s="10">
        <f t="shared" si="5"/>
        <v>50</v>
      </c>
      <c r="H78" s="11">
        <f t="shared" si="4"/>
        <v>550</v>
      </c>
    </row>
    <row r="79" spans="1:8" x14ac:dyDescent="0.3">
      <c r="A79" s="8">
        <v>43152</v>
      </c>
      <c r="B79" s="9" t="s">
        <v>34</v>
      </c>
      <c r="C79" s="2" t="s">
        <v>35</v>
      </c>
      <c r="D79" s="2">
        <v>450</v>
      </c>
      <c r="E79" s="9" t="s">
        <v>14</v>
      </c>
      <c r="F79" s="9" t="s">
        <v>17</v>
      </c>
      <c r="G79" s="10">
        <f t="shared" si="5"/>
        <v>45</v>
      </c>
      <c r="H79" s="11">
        <f t="shared" si="4"/>
        <v>495</v>
      </c>
    </row>
    <row r="80" spans="1:8" x14ac:dyDescent="0.3">
      <c r="A80" s="8">
        <v>43162</v>
      </c>
      <c r="B80" s="9" t="s">
        <v>12</v>
      </c>
      <c r="C80" s="2" t="s">
        <v>13</v>
      </c>
      <c r="D80" s="2">
        <v>430</v>
      </c>
      <c r="E80" s="9" t="s">
        <v>14</v>
      </c>
      <c r="F80" s="9" t="s">
        <v>15</v>
      </c>
      <c r="G80" s="10">
        <f t="shared" si="5"/>
        <v>43</v>
      </c>
      <c r="H80" s="11">
        <f t="shared" si="4"/>
        <v>473</v>
      </c>
    </row>
    <row r="81" spans="1:8" x14ac:dyDescent="0.3">
      <c r="A81" s="8">
        <v>43162</v>
      </c>
      <c r="B81" s="9" t="s">
        <v>16</v>
      </c>
      <c r="C81" s="2" t="s">
        <v>13</v>
      </c>
      <c r="D81" s="2">
        <v>875</v>
      </c>
      <c r="E81" s="9" t="s">
        <v>14</v>
      </c>
      <c r="F81" s="9" t="s">
        <v>17</v>
      </c>
      <c r="G81" s="10">
        <f t="shared" si="5"/>
        <v>87.5</v>
      </c>
      <c r="H81" s="11">
        <f t="shared" si="4"/>
        <v>962.5</v>
      </c>
    </row>
    <row r="82" spans="1:8" x14ac:dyDescent="0.3">
      <c r="A82" s="8">
        <v>43162</v>
      </c>
      <c r="B82" s="9" t="s">
        <v>18</v>
      </c>
      <c r="C82" s="2" t="s">
        <v>19</v>
      </c>
      <c r="D82" s="2">
        <v>1280</v>
      </c>
      <c r="E82" s="9" t="s">
        <v>14</v>
      </c>
      <c r="F82" s="9" t="s">
        <v>20</v>
      </c>
      <c r="G82" s="10">
        <f t="shared" si="5"/>
        <v>128</v>
      </c>
      <c r="H82" s="11">
        <f t="shared" si="4"/>
        <v>1408</v>
      </c>
    </row>
    <row r="83" spans="1:8" x14ac:dyDescent="0.3">
      <c r="A83" s="8">
        <v>43165</v>
      </c>
      <c r="B83" s="9" t="s">
        <v>21</v>
      </c>
      <c r="C83" s="2" t="s">
        <v>13</v>
      </c>
      <c r="D83" s="2">
        <v>500</v>
      </c>
      <c r="E83" s="9" t="s">
        <v>14</v>
      </c>
      <c r="F83" s="9" t="s">
        <v>22</v>
      </c>
      <c r="G83" s="10">
        <f t="shared" si="5"/>
        <v>50</v>
      </c>
      <c r="H83" s="11">
        <f t="shared" si="4"/>
        <v>550</v>
      </c>
    </row>
    <row r="84" spans="1:8" x14ac:dyDescent="0.3">
      <c r="A84" s="8">
        <v>43165</v>
      </c>
      <c r="B84" s="9" t="s">
        <v>23</v>
      </c>
      <c r="C84" s="2" t="s">
        <v>23</v>
      </c>
      <c r="D84" s="2">
        <v>25000</v>
      </c>
      <c r="E84" s="9" t="s">
        <v>24</v>
      </c>
      <c r="F84" s="9" t="s">
        <v>22</v>
      </c>
      <c r="G84" s="10">
        <f t="shared" si="5"/>
        <v>2500</v>
      </c>
      <c r="H84" s="11">
        <f t="shared" si="4"/>
        <v>27500</v>
      </c>
    </row>
    <row r="85" spans="1:8" x14ac:dyDescent="0.3">
      <c r="A85" s="8">
        <v>43165</v>
      </c>
      <c r="B85" s="9" t="s">
        <v>25</v>
      </c>
      <c r="C85" s="2" t="s">
        <v>26</v>
      </c>
      <c r="D85" s="2">
        <v>7000</v>
      </c>
      <c r="E85" s="9" t="s">
        <v>24</v>
      </c>
      <c r="F85" s="9" t="s">
        <v>22</v>
      </c>
      <c r="G85" s="10">
        <f t="shared" si="5"/>
        <v>700</v>
      </c>
      <c r="H85" s="11">
        <f t="shared" si="4"/>
        <v>7700</v>
      </c>
    </row>
    <row r="86" spans="1:8" x14ac:dyDescent="0.3">
      <c r="A86" s="8">
        <v>43165</v>
      </c>
      <c r="B86" s="9" t="s">
        <v>27</v>
      </c>
      <c r="C86" s="2" t="s">
        <v>13</v>
      </c>
      <c r="D86" s="2">
        <v>580</v>
      </c>
      <c r="E86" s="9" t="s">
        <v>14</v>
      </c>
      <c r="F86" s="9" t="s">
        <v>15</v>
      </c>
      <c r="G86" s="10">
        <f t="shared" si="5"/>
        <v>58</v>
      </c>
      <c r="H86" s="11">
        <f t="shared" si="4"/>
        <v>638</v>
      </c>
    </row>
    <row r="87" spans="1:8" x14ac:dyDescent="0.3">
      <c r="A87" s="8">
        <v>43162</v>
      </c>
      <c r="B87" s="9" t="s">
        <v>28</v>
      </c>
      <c r="C87" s="2" t="s">
        <v>29</v>
      </c>
      <c r="D87" s="2">
        <v>1050</v>
      </c>
      <c r="E87" s="9" t="s">
        <v>14</v>
      </c>
      <c r="F87" s="9" t="s">
        <v>17</v>
      </c>
      <c r="G87" s="10">
        <f t="shared" si="5"/>
        <v>105</v>
      </c>
      <c r="H87" s="11">
        <f t="shared" si="4"/>
        <v>1155</v>
      </c>
    </row>
    <row r="88" spans="1:8" x14ac:dyDescent="0.3">
      <c r="A88" s="8">
        <v>43180</v>
      </c>
      <c r="B88" s="9" t="s">
        <v>30</v>
      </c>
      <c r="C88" s="2" t="s">
        <v>31</v>
      </c>
      <c r="D88" s="2">
        <v>400</v>
      </c>
      <c r="E88" s="9" t="s">
        <v>14</v>
      </c>
      <c r="F88" s="9" t="s">
        <v>15</v>
      </c>
      <c r="G88" s="10">
        <f t="shared" si="5"/>
        <v>40</v>
      </c>
      <c r="H88" s="11">
        <f t="shared" si="4"/>
        <v>440</v>
      </c>
    </row>
    <row r="89" spans="1:8" x14ac:dyDescent="0.3">
      <c r="A89" s="8">
        <v>43180</v>
      </c>
      <c r="B89" s="9" t="s">
        <v>32</v>
      </c>
      <c r="C89" s="2" t="s">
        <v>33</v>
      </c>
      <c r="D89" s="2">
        <v>500</v>
      </c>
      <c r="E89" s="9" t="s">
        <v>14</v>
      </c>
      <c r="F89" s="9" t="s">
        <v>17</v>
      </c>
      <c r="G89" s="10">
        <f t="shared" si="5"/>
        <v>50</v>
      </c>
      <c r="H89" s="11">
        <f t="shared" si="4"/>
        <v>550</v>
      </c>
    </row>
    <row r="90" spans="1:8" x14ac:dyDescent="0.3">
      <c r="A90" s="8">
        <v>43180</v>
      </c>
      <c r="B90" s="9" t="s">
        <v>34</v>
      </c>
      <c r="C90" s="2" t="s">
        <v>35</v>
      </c>
      <c r="D90" s="2">
        <v>450</v>
      </c>
      <c r="E90" s="9" t="s">
        <v>14</v>
      </c>
      <c r="F90" s="9" t="s">
        <v>17</v>
      </c>
      <c r="G90" s="10">
        <f t="shared" si="5"/>
        <v>45</v>
      </c>
      <c r="H90" s="11">
        <f t="shared" si="4"/>
        <v>495</v>
      </c>
    </row>
    <row r="91" spans="1:8" x14ac:dyDescent="0.3">
      <c r="A91" s="8">
        <v>43194</v>
      </c>
      <c r="B91" s="9" t="s">
        <v>12</v>
      </c>
      <c r="C91" s="2" t="s">
        <v>13</v>
      </c>
      <c r="D91" s="2">
        <v>430</v>
      </c>
      <c r="E91" s="9" t="s">
        <v>14</v>
      </c>
      <c r="F91" s="9" t="s">
        <v>15</v>
      </c>
      <c r="G91" s="10">
        <f t="shared" si="5"/>
        <v>43</v>
      </c>
      <c r="H91" s="11">
        <f t="shared" si="4"/>
        <v>473</v>
      </c>
    </row>
    <row r="92" spans="1:8" x14ac:dyDescent="0.3">
      <c r="A92" s="8">
        <v>43194</v>
      </c>
      <c r="B92" s="9" t="s">
        <v>16</v>
      </c>
      <c r="C92" s="2" t="s">
        <v>13</v>
      </c>
      <c r="D92" s="2">
        <v>875</v>
      </c>
      <c r="E92" s="9" t="s">
        <v>14</v>
      </c>
      <c r="F92" s="9" t="s">
        <v>17</v>
      </c>
      <c r="G92" s="10">
        <f t="shared" si="5"/>
        <v>87.5</v>
      </c>
      <c r="H92" s="11">
        <f t="shared" si="4"/>
        <v>962.5</v>
      </c>
    </row>
    <row r="93" spans="1:8" x14ac:dyDescent="0.3">
      <c r="A93" s="8">
        <v>43194</v>
      </c>
      <c r="B93" s="9" t="s">
        <v>18</v>
      </c>
      <c r="C93" s="2" t="s">
        <v>19</v>
      </c>
      <c r="D93" s="2">
        <v>1280</v>
      </c>
      <c r="E93" s="9" t="s">
        <v>14</v>
      </c>
      <c r="F93" s="9" t="s">
        <v>20</v>
      </c>
      <c r="G93" s="10">
        <f t="shared" si="5"/>
        <v>128</v>
      </c>
      <c r="H93" s="11">
        <f t="shared" si="4"/>
        <v>1408</v>
      </c>
    </row>
    <row r="94" spans="1:8" x14ac:dyDescent="0.3">
      <c r="A94" s="8">
        <v>43196</v>
      </c>
      <c r="B94" s="9" t="s">
        <v>21</v>
      </c>
      <c r="C94" s="2" t="s">
        <v>13</v>
      </c>
      <c r="D94" s="2">
        <v>500</v>
      </c>
      <c r="E94" s="9" t="s">
        <v>14</v>
      </c>
      <c r="F94" s="9" t="s">
        <v>22</v>
      </c>
      <c r="G94" s="10">
        <f t="shared" si="5"/>
        <v>50</v>
      </c>
      <c r="H94" s="11">
        <f t="shared" si="4"/>
        <v>550</v>
      </c>
    </row>
    <row r="95" spans="1:8" x14ac:dyDescent="0.3">
      <c r="A95" s="8">
        <v>43196</v>
      </c>
      <c r="B95" s="9" t="s">
        <v>23</v>
      </c>
      <c r="C95" s="2" t="s">
        <v>23</v>
      </c>
      <c r="D95" s="2">
        <v>25000</v>
      </c>
      <c r="E95" s="9" t="s">
        <v>24</v>
      </c>
      <c r="F95" s="9" t="s">
        <v>22</v>
      </c>
      <c r="G95" s="10">
        <f t="shared" si="5"/>
        <v>2500</v>
      </c>
      <c r="H95" s="11">
        <f t="shared" si="4"/>
        <v>27500</v>
      </c>
    </row>
    <row r="96" spans="1:8" x14ac:dyDescent="0.3">
      <c r="A96" s="8">
        <v>43196</v>
      </c>
      <c r="B96" s="9" t="s">
        <v>25</v>
      </c>
      <c r="C96" s="2" t="s">
        <v>26</v>
      </c>
      <c r="D96" s="2">
        <v>7000</v>
      </c>
      <c r="E96" s="9" t="s">
        <v>24</v>
      </c>
      <c r="F96" s="9" t="s">
        <v>22</v>
      </c>
      <c r="G96" s="10">
        <f t="shared" si="5"/>
        <v>700</v>
      </c>
      <c r="H96" s="11">
        <f t="shared" si="4"/>
        <v>7700</v>
      </c>
    </row>
    <row r="97" spans="1:8" x14ac:dyDescent="0.3">
      <c r="A97" s="8">
        <v>43196</v>
      </c>
      <c r="B97" s="9" t="s">
        <v>27</v>
      </c>
      <c r="C97" s="2" t="s">
        <v>13</v>
      </c>
      <c r="D97" s="2">
        <v>580</v>
      </c>
      <c r="E97" s="9" t="s">
        <v>14</v>
      </c>
      <c r="F97" s="9" t="s">
        <v>15</v>
      </c>
      <c r="G97" s="10">
        <f t="shared" si="5"/>
        <v>58</v>
      </c>
      <c r="H97" s="11">
        <f t="shared" si="4"/>
        <v>638</v>
      </c>
    </row>
    <row r="98" spans="1:8" x14ac:dyDescent="0.3">
      <c r="A98" s="8">
        <v>43194</v>
      </c>
      <c r="B98" s="9" t="s">
        <v>28</v>
      </c>
      <c r="C98" s="2" t="s">
        <v>29</v>
      </c>
      <c r="D98" s="2">
        <v>1050</v>
      </c>
      <c r="E98" s="9" t="s">
        <v>14</v>
      </c>
      <c r="F98" s="9" t="s">
        <v>17</v>
      </c>
      <c r="G98" s="10">
        <f t="shared" si="5"/>
        <v>105</v>
      </c>
      <c r="H98" s="11">
        <f t="shared" si="4"/>
        <v>1155</v>
      </c>
    </row>
    <row r="99" spans="1:8" x14ac:dyDescent="0.3">
      <c r="A99" s="8">
        <v>43211</v>
      </c>
      <c r="B99" s="9" t="s">
        <v>30</v>
      </c>
      <c r="C99" s="2" t="s">
        <v>31</v>
      </c>
      <c r="D99" s="2">
        <v>400</v>
      </c>
      <c r="E99" s="9" t="s">
        <v>14</v>
      </c>
      <c r="F99" s="9" t="s">
        <v>15</v>
      </c>
      <c r="G99" s="10">
        <f t="shared" si="5"/>
        <v>40</v>
      </c>
      <c r="H99" s="11">
        <f t="shared" si="4"/>
        <v>440</v>
      </c>
    </row>
    <row r="100" spans="1:8" x14ac:dyDescent="0.3">
      <c r="A100" s="8">
        <v>43211</v>
      </c>
      <c r="B100" s="9" t="s">
        <v>32</v>
      </c>
      <c r="C100" s="2" t="s">
        <v>33</v>
      </c>
      <c r="D100" s="2">
        <v>500</v>
      </c>
      <c r="E100" s="9" t="s">
        <v>14</v>
      </c>
      <c r="F100" s="9" t="s">
        <v>17</v>
      </c>
      <c r="G100" s="10">
        <f t="shared" si="5"/>
        <v>50</v>
      </c>
      <c r="H100" s="11">
        <f t="shared" si="4"/>
        <v>550</v>
      </c>
    </row>
    <row r="101" spans="1:8" x14ac:dyDescent="0.3">
      <c r="A101" s="8">
        <v>43211</v>
      </c>
      <c r="B101" s="9" t="s">
        <v>34</v>
      </c>
      <c r="C101" s="2" t="s">
        <v>35</v>
      </c>
      <c r="D101" s="2">
        <v>450</v>
      </c>
      <c r="E101" s="9" t="s">
        <v>14</v>
      </c>
      <c r="F101" s="9" t="s">
        <v>17</v>
      </c>
      <c r="G101" s="10">
        <f t="shared" si="5"/>
        <v>45</v>
      </c>
      <c r="H101" s="11">
        <f t="shared" si="4"/>
        <v>495</v>
      </c>
    </row>
    <row r="102" spans="1:8" x14ac:dyDescent="0.3">
      <c r="A102" s="8">
        <v>43225</v>
      </c>
      <c r="B102" s="9" t="s">
        <v>12</v>
      </c>
      <c r="C102" s="2" t="s">
        <v>13</v>
      </c>
      <c r="D102" s="2">
        <v>430</v>
      </c>
      <c r="E102" s="9" t="s">
        <v>14</v>
      </c>
      <c r="F102" s="9" t="s">
        <v>15</v>
      </c>
      <c r="G102" s="10">
        <f t="shared" si="5"/>
        <v>43</v>
      </c>
      <c r="H102" s="11">
        <f t="shared" si="4"/>
        <v>473</v>
      </c>
    </row>
    <row r="103" spans="1:8" x14ac:dyDescent="0.3">
      <c r="A103" s="8">
        <v>43225</v>
      </c>
      <c r="B103" s="9" t="s">
        <v>16</v>
      </c>
      <c r="C103" s="2" t="s">
        <v>13</v>
      </c>
      <c r="D103" s="2">
        <v>875</v>
      </c>
      <c r="E103" s="9" t="s">
        <v>14</v>
      </c>
      <c r="F103" s="9" t="s">
        <v>17</v>
      </c>
      <c r="G103" s="10">
        <f t="shared" si="5"/>
        <v>87.5</v>
      </c>
      <c r="H103" s="11">
        <f t="shared" si="4"/>
        <v>962.5</v>
      </c>
    </row>
    <row r="104" spans="1:8" x14ac:dyDescent="0.3">
      <c r="A104" s="8">
        <v>43225</v>
      </c>
      <c r="B104" s="9" t="s">
        <v>18</v>
      </c>
      <c r="C104" s="2" t="s">
        <v>19</v>
      </c>
      <c r="D104" s="2">
        <v>1280</v>
      </c>
      <c r="E104" s="9" t="s">
        <v>14</v>
      </c>
      <c r="F104" s="9" t="s">
        <v>20</v>
      </c>
      <c r="G104" s="10">
        <f t="shared" si="5"/>
        <v>128</v>
      </c>
      <c r="H104" s="11">
        <f t="shared" si="4"/>
        <v>1408</v>
      </c>
    </row>
    <row r="105" spans="1:8" x14ac:dyDescent="0.3">
      <c r="A105" s="8">
        <v>43226</v>
      </c>
      <c r="B105" s="9" t="s">
        <v>21</v>
      </c>
      <c r="C105" s="2" t="s">
        <v>13</v>
      </c>
      <c r="D105" s="2">
        <v>500</v>
      </c>
      <c r="E105" s="9" t="s">
        <v>14</v>
      </c>
      <c r="F105" s="9" t="s">
        <v>22</v>
      </c>
      <c r="G105" s="10">
        <f t="shared" si="5"/>
        <v>50</v>
      </c>
      <c r="H105" s="11">
        <f t="shared" si="4"/>
        <v>550</v>
      </c>
    </row>
    <row r="106" spans="1:8" x14ac:dyDescent="0.3">
      <c r="A106" s="8">
        <v>43226</v>
      </c>
      <c r="B106" s="9" t="s">
        <v>23</v>
      </c>
      <c r="C106" s="2" t="s">
        <v>23</v>
      </c>
      <c r="D106" s="2">
        <v>25000</v>
      </c>
      <c r="E106" s="9" t="s">
        <v>24</v>
      </c>
      <c r="F106" s="9" t="s">
        <v>22</v>
      </c>
      <c r="G106" s="10">
        <f t="shared" si="5"/>
        <v>2500</v>
      </c>
      <c r="H106" s="11">
        <f t="shared" si="4"/>
        <v>27500</v>
      </c>
    </row>
    <row r="107" spans="1:8" x14ac:dyDescent="0.3">
      <c r="A107" s="8">
        <v>43226</v>
      </c>
      <c r="B107" s="9" t="s">
        <v>25</v>
      </c>
      <c r="C107" s="2" t="s">
        <v>26</v>
      </c>
      <c r="D107" s="2">
        <v>7000</v>
      </c>
      <c r="E107" s="9" t="s">
        <v>24</v>
      </c>
      <c r="F107" s="9" t="s">
        <v>22</v>
      </c>
      <c r="G107" s="10">
        <f t="shared" si="5"/>
        <v>700</v>
      </c>
      <c r="H107" s="11">
        <f t="shared" si="4"/>
        <v>7700</v>
      </c>
    </row>
    <row r="108" spans="1:8" x14ac:dyDescent="0.3">
      <c r="A108" s="8">
        <v>43226</v>
      </c>
      <c r="B108" s="9" t="s">
        <v>27</v>
      </c>
      <c r="C108" s="2" t="s">
        <v>13</v>
      </c>
      <c r="D108" s="2">
        <v>580</v>
      </c>
      <c r="E108" s="9" t="s">
        <v>14</v>
      </c>
      <c r="F108" s="9" t="s">
        <v>15</v>
      </c>
      <c r="G108" s="10">
        <f t="shared" si="5"/>
        <v>58</v>
      </c>
      <c r="H108" s="11">
        <f t="shared" si="4"/>
        <v>638</v>
      </c>
    </row>
    <row r="109" spans="1:8" x14ac:dyDescent="0.3">
      <c r="A109" s="8">
        <v>43225</v>
      </c>
      <c r="B109" s="9" t="s">
        <v>28</v>
      </c>
      <c r="C109" s="2" t="s">
        <v>29</v>
      </c>
      <c r="D109" s="2">
        <v>1050</v>
      </c>
      <c r="E109" s="9" t="s">
        <v>14</v>
      </c>
      <c r="F109" s="9" t="s">
        <v>17</v>
      </c>
      <c r="G109" s="10">
        <f t="shared" si="5"/>
        <v>105</v>
      </c>
      <c r="H109" s="11">
        <f t="shared" si="4"/>
        <v>1155</v>
      </c>
    </row>
    <row r="110" spans="1:8" x14ac:dyDescent="0.3">
      <c r="A110" s="8">
        <v>43241</v>
      </c>
      <c r="B110" s="9" t="s">
        <v>30</v>
      </c>
      <c r="C110" s="2" t="s">
        <v>31</v>
      </c>
      <c r="D110" s="2">
        <v>400</v>
      </c>
      <c r="E110" s="9" t="s">
        <v>14</v>
      </c>
      <c r="F110" s="9" t="s">
        <v>15</v>
      </c>
      <c r="G110" s="10">
        <f t="shared" si="5"/>
        <v>40</v>
      </c>
      <c r="H110" s="11">
        <f t="shared" si="4"/>
        <v>440</v>
      </c>
    </row>
    <row r="111" spans="1:8" x14ac:dyDescent="0.3">
      <c r="A111" s="8">
        <v>43241</v>
      </c>
      <c r="B111" s="9" t="s">
        <v>32</v>
      </c>
      <c r="C111" s="2" t="s">
        <v>33</v>
      </c>
      <c r="D111" s="2">
        <v>500</v>
      </c>
      <c r="E111" s="9" t="s">
        <v>14</v>
      </c>
      <c r="F111" s="9" t="s">
        <v>17</v>
      </c>
      <c r="G111" s="10">
        <f t="shared" si="5"/>
        <v>50</v>
      </c>
      <c r="H111" s="11">
        <f t="shared" si="4"/>
        <v>550</v>
      </c>
    </row>
    <row r="112" spans="1:8" x14ac:dyDescent="0.3">
      <c r="A112" s="8">
        <v>43241</v>
      </c>
      <c r="B112" s="9" t="s">
        <v>34</v>
      </c>
      <c r="C112" s="2" t="s">
        <v>35</v>
      </c>
      <c r="D112" s="2">
        <v>450</v>
      </c>
      <c r="E112" s="9" t="s">
        <v>14</v>
      </c>
      <c r="F112" s="9" t="s">
        <v>17</v>
      </c>
      <c r="G112" s="10">
        <f t="shared" si="5"/>
        <v>45</v>
      </c>
      <c r="H112" s="11">
        <f t="shared" si="4"/>
        <v>495</v>
      </c>
    </row>
  </sheetData>
  <mergeCells count="10">
    <mergeCell ref="H1:H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dataValidations count="1">
    <dataValidation type="whole" operator="lessThan" allowBlank="1" showInputMessage="1" showErrorMessage="1" sqref="D3:D112 K3:K6" xr:uid="{00000000-0002-0000-0100-000000000000}">
      <formula1>1000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Kausalya Sumesh</cp:lastModifiedBy>
  <dcterms:created xsi:type="dcterms:W3CDTF">2018-06-30T09:48:37Z</dcterms:created>
  <dcterms:modified xsi:type="dcterms:W3CDTF">2026-06-23T06:55:55Z</dcterms:modified>
</cp:coreProperties>
</file>